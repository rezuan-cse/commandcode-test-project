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s" sheetId="1" r:id="rId5"/>
    <sheet state="visible" name="Chart of Accounts" sheetId="2" r:id="rId6"/>
    <sheet state="hidden" name="Opening Balances" sheetId="3" r:id="rId7"/>
    <sheet state="visible" name="Journal Entries" sheetId="4" r:id="rId8"/>
    <sheet state="visible" name="Item Master" sheetId="5" r:id="rId9"/>
    <sheet state="visible" name="BOM Master" sheetId="6" r:id="rId10"/>
    <sheet state="visible" name="Production Entry" sheetId="7" r:id="rId11"/>
    <sheet state="visible" name="Inventory Ledger" sheetId="8" r:id="rId12"/>
    <sheet state="visible" name="General Ledger" sheetId="9" r:id="rId13"/>
    <sheet state="hidden" name="Trial Balance" sheetId="10" r:id="rId14"/>
    <sheet state="hidden" name="P&amp;L by Segment" sheetId="11" r:id="rId15"/>
    <sheet state="hidden" name="Balance Sheet" sheetId="12" r:id="rId16"/>
  </sheets>
  <definedNames/>
  <calcPr/>
</workbook>
</file>

<file path=xl/sharedStrings.xml><?xml version="1.0" encoding="utf-8"?>
<sst xmlns="http://schemas.openxmlformats.org/spreadsheetml/2006/main" count="821" uniqueCount="319">
  <si>
    <t>মাল্টি-সেগমেন্ট একাউন্টিং ও ম্যানুফ্যাকচারিং ওয়ার্কবুক — ব্যবহার নির্দেশিকা</t>
  </si>
  <si>
    <t>হিসাব কোড (Account Code)</t>
  </si>
  <si>
    <t>শুরুর তারিখ (Cutover Date):</t>
  </si>
  <si>
    <t>হিসাবের নাম (Account Name)</t>
  </si>
  <si>
    <t>ক্রমিক নং (SL)</t>
  </si>
  <si>
    <t>ধরন (Type)</t>
  </si>
  <si>
    <t>সেগমেন্ট (Segment)</t>
  </si>
  <si>
    <t>স্বাভাবিক ব্যালেন্স (Normal Balance)</t>
  </si>
  <si>
    <t>তারিখ (Date)</t>
  </si>
  <si>
    <t>কালার লেজেন্ড (Color Legend)</t>
  </si>
  <si>
    <t>ভাউচার নং (Voucher No)</t>
  </si>
  <si>
    <t xml:space="preserve">  নীল লেখা (Blue text)     = আপনি নিজে টাইপ করবেন (Input)</t>
  </si>
  <si>
    <t xml:space="preserve">  কালো লেখা (Black text)    = ফর্মুলা — এখানে কিছু লিখবেন না, এটা Auto ক্যালকুলেট হয়</t>
  </si>
  <si>
    <t>প্রারম্ভিক ডেবিট (Opening Debit)</t>
  </si>
  <si>
    <t xml:space="preserve">  হলুদ ফিল (Yellow fill)    = গুরুত্বপূর্ণ Assumption / Cutover Date — ব্যবহারের আগে চেক করে নিন</t>
  </si>
  <si>
    <t>Cash in Hand</t>
  </si>
  <si>
    <t>Asset</t>
  </si>
  <si>
    <t>শীট অনুযায়ী কাজের ধারা (Sheet-by-Sheet Workflow)</t>
  </si>
  <si>
    <t>Shared</t>
  </si>
  <si>
    <t>প্রারম্ভিক ক্রেডিট (Opening Credit)</t>
  </si>
  <si>
    <t>Dr</t>
  </si>
  <si>
    <t>১. Chart of Accounts (COA) — আপনার সব Account-এর তালিকা, প্রতিটা Account একটা Segment ট্যাগ করা (Import / Manufacturing / Packaging / Trading / Application / Shared)। নতুন Account লাগলে এখানেই প্রথমে যোগ করুন, বাকি সব শীট এখান থেকেই Account খুঁজে নেয়।</t>
  </si>
  <si>
    <t>Petty Cash</t>
  </si>
  <si>
    <t>২. Opening Balances — Cutover Date (যেদিন থেকে এই নতুন সিস্টেমে সুইচ করবেন) পর্যন্ত আপনার Trial Balance। Total Debit = Total Credit মিলতেই হবে।</t>
  </si>
  <si>
    <t>ডেবিট (Debit)</t>
  </si>
  <si>
    <t>৩. Journal Entries — Cutover Date-এর পর থেকে প্রতিটা নতুন লেনদেন এখানে লিখবেন (এখন যেহেতু ওয়েবসাইট বাদ, এই শীটেই সরাসরি Manual এন্ট্রি দেবেন)। নিচে Total Debit ও Total Credit অবশ্যই সমান হতে হবে।</t>
  </si>
  <si>
    <t>৪. Item Master — প্রতিটা স্টক আইটেম (কাঁচামাল, WIP, তৈরি পণ্য, প্যাকেজিং, ট্রেডিং, ইমপোর্ট করা পণ্য)। Current Qty ও Current Avg Cost সয়ংক্রিয়ভাবে Inventory Ledger থেকে হিসাব হয়।</t>
  </si>
  <si>
    <t>Bank Account - Main</t>
  </si>
  <si>
    <t>ক্রেডিট (Credit)</t>
  </si>
  <si>
    <t>৫. BOM Master — আপনার Multi-Stage BOM (Bill of Materials)। প্রতিটা সারিতে (Parent Item -&gt; Component Item) সম্পর্ক থাকে। একটা Finished Good-এর Component নিজেই একটা WIP আইটেম হতে পারে, যার আবার নিজস্ব BOM আছে — এভাবেই Multi-Stage Manufacturing (Stage 1: কাঁচামাল -&gt; Stage 2: আধা-তৈরি -&gt; Stage 3: তৈরি পণ্য) রিপ্রেজেন্ট করা হয়েছে।</t>
  </si>
  <si>
    <t>বিবরণ (Narration)</t>
  </si>
  <si>
    <t>Bank Account - Secondary</t>
  </si>
  <si>
    <t>৬. Production Entry — প্রতিটা প্রোডাকশন রান এখানে রেকর্ড করুন। Item Produced ও Qty Produced দিন, প্রতিটা Component আলাদা সারিতে লিখুন। Qty per Unit ও Component Cost BOM Master ও Item Master থেকে Auto চলে আসবে। অর্ডারের এক সারিতে Labor &amp; Overhead যোগ করুন। Total Production Cost ও Unit Cost Auto ক্যালকুলেট হবে।</t>
  </si>
  <si>
    <t>এন্ট্রিকারী (Entered By)</t>
  </si>
  <si>
    <t>৭. Inventory Ledger — প্রতিটা আইটেমের বিস্তারিত In/Out রেকর্ড (Purchase, Production Consumption, Production Output, Sale, Adjustment)। Running Balance Qty/Value এবং Weighted-Average Cost সয়ংক্রিয়ভাবে ক্যালকুলেট হয়। একটা Production Entry পোস্ট করার পর, সেই Component Consumption (Out) ও Output (In) এর সংখ্যাগুলো এই Ledger-এ নতুন সারি হিসেবে কপি করে দিন।</t>
  </si>
  <si>
    <t>L/C Margin Deposit</t>
  </si>
  <si>
    <t>Import</t>
  </si>
  <si>
    <t>৮. General Ledger, Trial Balance, P&amp;L by Segment, Balance Sheet — সবগুলো সম্পূর্ণ Auto, Chart of Accounts + Opening Balances + Journal Entries থেকে তৈরি হয়। এখানে কোনো কিছু টাইপ করবেন না।</t>
  </si>
  <si>
    <t>Accounts Receivable - Local</t>
  </si>
  <si>
    <t>গুরুত্বপূর্ণ — GL ও Inventory Ledger কিভাবে যুক্ত</t>
  </si>
  <si>
    <t>Accounts Receivable - Export</t>
  </si>
  <si>
    <t>Inventory Ledger একটা Subsidiary (Memo) রেকর্ড যেটা শুধু পরিমাণ ও খরচ ট্র্যাক করে — এটা নিজে থেকে Journal আপডেট করে না। যখনই স্টকের মূল্য এমনভাবে পরিবর্তন হয় যা একটা General Ledger Account থেকে অন্য Account-এ যায় (যেমন: কাঁচামাল খরচ হয়ে WIP Account-এ যাওয়া, অথবা শ্রম খরচ WIP-তে যোগ হওয়া, অথবা WIP থেকে Finished Goods Account-এ যাওয়া), তখন আপনাকে সেই মূল্যের জন্য অবশ্যই একটা Journal Entry পোস্ট করতে হবে। একই GL Account-এর ভেতরে দুইটা আইটেম কোডের মধ্যে মূল্য স্থানান্তর (যেমন WIP Stage 1 থেকে WIP Stage 2, দুটোই 'Inventory - WIP' এর ভেতরে) আলাদা Journal Entry লাগে না — শুধু সেই স্টেজে নতুন যোগ হওয়া মূল্যটুকু (নতুন কাঁচামাল বা শ্রম) Journal-এ লিখতে হবে। এই ওয়ার্কবুকে দেওয়া Sample Production Entry (PROD-001/002/003) ও তার সাথে মিলিয়ে দেওয়া Journal Entries দেখলে পুরো উদাহরণটা বুঝতে পারবেন।</t>
  </si>
  <si>
    <t>Advance to Suppliers</t>
  </si>
  <si>
    <t>এই ফাইলটা Excel ফরম্যাটে তৈরি করা হয়েছে যাতে প্রতিটা ফর্মুলা চোখে দেখা ও এডিট করা যায়; Google Sheets-এ আপলোড করার পর (File &gt; Import &gt; Replace spreadsheet) এখানে ব্যবহৃত সব ফর্মুলা (SUMIFS, INDEX, MATCH, IFERROR) একই রকম কাজ করবে।</t>
  </si>
  <si>
    <t>বিস্তারিত ব্যবহারবিধির জন্য আলাদা 'ইউজার ম্যানুয়াল' ডকুমেন্টটি দেখুন — সেখানে প্রতিটা ধাপ উদাহরণসহ ব্যাখ্যা করা আছে।</t>
  </si>
  <si>
    <t>Advance Income Tax (AIT)</t>
  </si>
  <si>
    <t>VAT Current Account (Input VAT)</t>
  </si>
  <si>
    <t>Advance to Employees</t>
  </si>
  <si>
    <t>PROD-001</t>
  </si>
  <si>
    <t>Prepaid Expenses</t>
  </si>
  <si>
    <t>Inventory - Imported Goods</t>
  </si>
  <si>
    <t>Inventory - Raw Materials</t>
  </si>
  <si>
    <t>Manufacturing</t>
  </si>
  <si>
    <t>Inventory - WIP</t>
  </si>
  <si>
    <t>Inventory - Finished Goods</t>
  </si>
  <si>
    <t>Inventory - Packaging Materials</t>
  </si>
  <si>
    <t>Packaging</t>
  </si>
  <si>
    <t>Inventory - Trading Stock</t>
  </si>
  <si>
    <t>Trading</t>
  </si>
  <si>
    <t>Goods in Transit</t>
  </si>
  <si>
    <t>Land &amp; Building</t>
  </si>
  <si>
    <t>Accumulated Depreciation - Building</t>
  </si>
  <si>
    <t>Cr</t>
  </si>
  <si>
    <t>Plant &amp; Machinery</t>
  </si>
  <si>
    <t>Accumulated Depreciation - Plant &amp; Machinery</t>
  </si>
  <si>
    <t>Office Equipment</t>
  </si>
  <si>
    <t>Accumulated Depreciation - Office Equipment</t>
  </si>
  <si>
    <t>Furniture &amp; Fixtures</t>
  </si>
  <si>
    <t>Accumulated Depreciation - Furniture &amp; Fixtures</t>
  </si>
  <si>
    <t>Vehicles</t>
  </si>
  <si>
    <t>Accumulated Depreciation - Vehicles</t>
  </si>
  <si>
    <t>Computer &amp; IT Equipment</t>
  </si>
  <si>
    <t>Accumulated Depreciation - Computer &amp; IT Equipment</t>
  </si>
  <si>
    <t>Accounts Payable - Import Suppliers</t>
  </si>
  <si>
    <t>Liability</t>
  </si>
  <si>
    <t>Accounts Payable - Local Suppliers</t>
  </si>
  <si>
    <t>Import L/C Payable</t>
  </si>
  <si>
    <t>Customs Duty Payable</t>
  </si>
  <si>
    <t>Import Duty &amp; Tax Payable (CD/RD/AT/AIT)</t>
  </si>
  <si>
    <t>VAT Payable (Output VAT)</t>
  </si>
  <si>
    <t>TDS Payable</t>
  </si>
  <si>
    <t>AIT Payable</t>
  </si>
  <si>
    <t>Salary Payable</t>
  </si>
  <si>
    <t>Accrued Expenses</t>
  </si>
  <si>
    <t>Bank Overdraft / Short-term Loan</t>
  </si>
  <si>
    <t>Term Loan (Long-term)</t>
  </si>
  <si>
    <t>Lease Liability</t>
  </si>
  <si>
    <t>Owner's Capital</t>
  </si>
  <si>
    <t>Equity</t>
  </si>
  <si>
    <t>Owner's Drawings</t>
  </si>
  <si>
    <t>Retained Earnings</t>
  </si>
  <si>
    <t>Opening Balance Equity</t>
  </si>
  <si>
    <t>Import Sales</t>
  </si>
  <si>
    <t>Revenue</t>
  </si>
  <si>
    <t>মোট (TOTAL)</t>
  </si>
  <si>
    <t>Manufacturing Sales</t>
  </si>
  <si>
    <t>Packaging Sales</t>
  </si>
  <si>
    <t>Trading Sales</t>
  </si>
  <si>
    <t>Application / Service Income</t>
  </si>
  <si>
    <t>Application</t>
  </si>
  <si>
    <t>Production Order PROD-001: WIP001 output (RM001 + labor)</t>
  </si>
  <si>
    <t>Sales Return &amp; Allowances</t>
  </si>
  <si>
    <t>Store</t>
  </si>
  <si>
    <t>পার্থক্য (Difference) — অবশ্যই ০ হতে হবে</t>
  </si>
  <si>
    <t>Sales Discount</t>
  </si>
  <si>
    <t>COGS - Import</t>
  </si>
  <si>
    <t>COGS</t>
  </si>
  <si>
    <t>COGS - Manufacturing (Raw Material Consumed)</t>
  </si>
  <si>
    <t>Direct Labor - Manufacturing</t>
  </si>
  <si>
    <t>Factory Overhead - Manufacturing</t>
  </si>
  <si>
    <t>COGS - Packaging</t>
  </si>
  <si>
    <t>COGS - Trading</t>
  </si>
  <si>
    <t>Customs Duty &amp; Clearing (Import)</t>
  </si>
  <si>
    <t>Freight Inward (Import)</t>
  </si>
  <si>
    <t>L/C Charges (Import)</t>
  </si>
  <si>
    <t>Carrying &amp; Forwarding Charges</t>
  </si>
  <si>
    <t>Rent Expense</t>
  </si>
  <si>
    <t>Expense</t>
  </si>
  <si>
    <t>আইটেম কোড (Item Code)</t>
  </si>
  <si>
    <t>Salary &amp; Wages - Office</t>
  </si>
  <si>
    <t>Utilities (Electricity/Gas/Water)</t>
  </si>
  <si>
    <t>আইটেমের নাম (Item Name)</t>
  </si>
  <si>
    <t>Office Admin Expense</t>
  </si>
  <si>
    <t>ক্যাটাগরি (Category)</t>
  </si>
  <si>
    <t>Raw material RM001 consumed for PROD-001</t>
  </si>
  <si>
    <t>Depreciation Expense</t>
  </si>
  <si>
    <t>একক (Unit)</t>
  </si>
  <si>
    <t>Bank Charges</t>
  </si>
  <si>
    <t>Printing &amp; Stationery</t>
  </si>
  <si>
    <t>বর্তমান মজুদ পরিমাণ (Current Qty on Hand)</t>
  </si>
  <si>
    <t>বর্তমান গড় খরচ (Current Avg Cost)</t>
  </si>
  <si>
    <t>Telephone &amp; Internet</t>
  </si>
  <si>
    <t>Legal &amp; Professional Fees</t>
  </si>
  <si>
    <t>Audit Fee</t>
  </si>
  <si>
    <t>Repair &amp; Maintenance</t>
  </si>
  <si>
    <t>Insurance Expense</t>
  </si>
  <si>
    <t>Vehicle Running Expense</t>
  </si>
  <si>
    <t>Software &amp; AMC Expense</t>
  </si>
  <si>
    <t>Entertainment Expense</t>
  </si>
  <si>
    <t>Salary &amp; Commission - Sales</t>
  </si>
  <si>
    <t>Advertising &amp; Promotion</t>
  </si>
  <si>
    <t>RM001</t>
  </si>
  <si>
    <t>Freight Outward / Delivery Expense</t>
  </si>
  <si>
    <t>Travel Expense</t>
  </si>
  <si>
    <t>Interest on Loan</t>
  </si>
  <si>
    <t>Foreign Exchange Loss</t>
  </si>
  <si>
    <t>Labor &amp; OH paid for PROD-001</t>
  </si>
  <si>
    <t>Interest Income</t>
  </si>
  <si>
    <t>Other Income</t>
  </si>
  <si>
    <t>PROD-002</t>
  </si>
  <si>
    <t>Foreign Exchange Gain</t>
  </si>
  <si>
    <t>Miscellaneous Income</t>
  </si>
  <si>
    <t>Production Order PROD-002: WIP002 output (RM002 + labor added)</t>
  </si>
  <si>
    <t>Raw material RM002 consumed for PROD-002</t>
  </si>
  <si>
    <t>Labor &amp; OH paid for PROD-002</t>
  </si>
  <si>
    <t>PROD-003</t>
  </si>
  <si>
    <t>মূল আইটেম কোড (Parent Item Code)</t>
  </si>
  <si>
    <t>মূল আইটেমের নাম (Parent Item Name)</t>
  </si>
  <si>
    <t>Production Order PROD-003: FG001 output (WIP002 + packaging + labor)</t>
  </si>
  <si>
    <t>ধাপ (Stage)</t>
  </si>
  <si>
    <t>উপকরণ আইটেম কোড (Component Item Code)</t>
  </si>
  <si>
    <t>উপকরণের নাম (Component Name)</t>
  </si>
  <si>
    <t>প্রতি ইউনিটে পরিমাণ (Qty per Unit)</t>
  </si>
  <si>
    <t>TRD-018</t>
  </si>
  <si>
    <t>WIP002 consumed for PROD-003</t>
  </si>
  <si>
    <t>RMC-001</t>
  </si>
  <si>
    <t>অর্ডার নং (Order No)</t>
  </si>
  <si>
    <t>উৎপাদিত আইটেম (Item Produced)</t>
  </si>
  <si>
    <t>উৎপাদিত পরিমাণ (Qty Produced)</t>
  </si>
  <si>
    <t>উপকরণ কোড (Component Code)</t>
  </si>
  <si>
    <t>ব্যবহৃত পরিমাণ (Qty Consumed)</t>
  </si>
  <si>
    <t>উপকরণের গড় খরচ (Component Avg Cost)</t>
  </si>
  <si>
    <t>উপকরণ খরচ (Component Cost)</t>
  </si>
  <si>
    <t>শ্রম ও ওভারহেড খরচ (Labor &amp; Overhead)</t>
  </si>
  <si>
    <t>অর্ডারের কাঁচামাল খরচ (Order Material Cost)</t>
  </si>
  <si>
    <t>অর্ডারের শ্রম+ওভারহেড (Order Labor+OH)</t>
  </si>
  <si>
    <t>Packaging (PKG001) consumed for PROD-003</t>
  </si>
  <si>
    <t>অর্ডারের মোট খরচ (Order Total Cost)</t>
  </si>
  <si>
    <t>উৎপাদিত পণ্যের ইউনিট খরচ (Unit Cost of Output)</t>
  </si>
  <si>
    <t>WIP001</t>
  </si>
  <si>
    <t>RMC-002</t>
  </si>
  <si>
    <t>Labor &amp; OH paid for PROD-003</t>
  </si>
  <si>
    <t>SALE-001</t>
  </si>
  <si>
    <t>RMC-003</t>
  </si>
  <si>
    <t>Sale of 10 units FG001 to customer</t>
  </si>
  <si>
    <t>Sales</t>
  </si>
  <si>
    <t>RMC-004</t>
  </si>
  <si>
    <t>COGS for 10 units FG001 sold</t>
  </si>
  <si>
    <t>RMCD-005</t>
  </si>
  <si>
    <t>Raw Material A</t>
  </si>
  <si>
    <t>Raw Material</t>
  </si>
  <si>
    <t>kg</t>
  </si>
  <si>
    <t>Finished goods reduced for sale SALE-001</t>
  </si>
  <si>
    <t>WIP002</t>
  </si>
  <si>
    <t>PKC-026</t>
  </si>
  <si>
    <t>RM002</t>
  </si>
  <si>
    <t>Raw Material B</t>
  </si>
  <si>
    <t>Semi-Finished Stage 1</t>
  </si>
  <si>
    <t>WIP</t>
  </si>
  <si>
    <t>pcs</t>
  </si>
  <si>
    <t>FG001</t>
  </si>
  <si>
    <t>Semi-Finished Stage 2</t>
  </si>
  <si>
    <t>PKG001</t>
  </si>
  <si>
    <t>Finished Good X</t>
  </si>
  <si>
    <t>Finished Good</t>
  </si>
  <si>
    <t>Packaging Box</t>
  </si>
  <si>
    <t>TRD001</t>
  </si>
  <si>
    <t>Trading Item Y</t>
  </si>
  <si>
    <t>Trading Stock</t>
  </si>
  <si>
    <t>IMP001</t>
  </si>
  <si>
    <t>Imported Item Z</t>
  </si>
  <si>
    <t>Imported Goods</t>
  </si>
  <si>
    <t>Sand 30/80</t>
  </si>
  <si>
    <t>Kg</t>
  </si>
  <si>
    <t>Lime 200</t>
  </si>
  <si>
    <t>Elephent Cement</t>
  </si>
  <si>
    <t>H.Lime</t>
  </si>
  <si>
    <t>T2 C/D</t>
  </si>
  <si>
    <t>লেনদেনের ধরন (Txn Type)</t>
  </si>
  <si>
    <t>রেফারেন্স নং (Reference No)</t>
  </si>
  <si>
    <t>ইন পরিমাণ (In Qty)</t>
  </si>
  <si>
    <t>ইন মূল্য (In Value)</t>
  </si>
  <si>
    <t>আউট পরিমাণ (Out Qty)</t>
  </si>
  <si>
    <t>আউট মূল্য (Out Value)</t>
  </si>
  <si>
    <t>প্রস্তাবিত আউট মূল্য (Suggested Out Value)</t>
  </si>
  <si>
    <t>স্থিতি পরিমাণ (Balance Qty)</t>
  </si>
  <si>
    <t>স্থিতি মূল্য (Balance Value)</t>
  </si>
  <si>
    <t>গড় খরচ (Avg Cost)</t>
  </si>
  <si>
    <t>RMD-006</t>
  </si>
  <si>
    <t>Carbon Black D</t>
  </si>
  <si>
    <t>Opening Stock</t>
  </si>
  <si>
    <t>OPEN-01</t>
  </si>
  <si>
    <t>RMD-007</t>
  </si>
  <si>
    <t>Blue D</t>
  </si>
  <si>
    <t>RMD-008</t>
  </si>
  <si>
    <t>Green D</t>
  </si>
  <si>
    <t>RMD-009</t>
  </si>
  <si>
    <t>Red D</t>
  </si>
  <si>
    <t>RMD-010</t>
  </si>
  <si>
    <t>Red Oxide D</t>
  </si>
  <si>
    <t>RMD-011</t>
  </si>
  <si>
    <t>Yellow D</t>
  </si>
  <si>
    <t>RMD-012</t>
  </si>
  <si>
    <t>Yellow Oxide D</t>
  </si>
  <si>
    <t>Production-Out</t>
  </si>
  <si>
    <t>Production-In</t>
  </si>
  <si>
    <t>RMD-013</t>
  </si>
  <si>
    <t xml:space="preserve"> DA D</t>
  </si>
  <si>
    <t>RMA-014</t>
  </si>
  <si>
    <t>Resin A</t>
  </si>
  <si>
    <t>RMB-015</t>
  </si>
  <si>
    <t>Hardner B</t>
  </si>
  <si>
    <t>TRD-016</t>
  </si>
  <si>
    <t xml:space="preserve">NovaCrete PU-MF-A-Resin </t>
  </si>
  <si>
    <t>Nos.</t>
  </si>
  <si>
    <t>TRD-017</t>
  </si>
  <si>
    <t xml:space="preserve">NovaCrete PU-MF-B-Hardner </t>
  </si>
  <si>
    <t>Sale-Out</t>
  </si>
  <si>
    <t xml:space="preserve">NovaCrete PU-MF-C-Filler </t>
  </si>
  <si>
    <t>srthrfgh</t>
  </si>
  <si>
    <t>TRD-019</t>
  </si>
  <si>
    <t xml:space="preserve">NovaCrete PU-MF-Pigment-D-Grey </t>
  </si>
  <si>
    <t>Purchase-In</t>
  </si>
  <si>
    <t>fgfd</t>
  </si>
  <si>
    <t>TRD-020</t>
  </si>
  <si>
    <t>NovaCrete PU-MF-Pigment-D-LIght Grey</t>
  </si>
  <si>
    <t>TRD-021</t>
  </si>
  <si>
    <t>NovaCrete PU-MF-Pigment-D-Green</t>
  </si>
  <si>
    <t>TRD-022</t>
  </si>
  <si>
    <t>NovaCrete PU-MF-Pigment-D-Blue</t>
  </si>
  <si>
    <t>TRD-023</t>
  </si>
  <si>
    <t xml:space="preserve">NovaCrete PU-MF-Pigment-D-Orange </t>
  </si>
  <si>
    <t>TRD-024</t>
  </si>
  <si>
    <t xml:space="preserve">NovaCrete PU-MF-Pigment-D-Yellow </t>
  </si>
  <si>
    <t>TRD-025</t>
  </si>
  <si>
    <t>NovaCrete PU-MF-Pigment-D-RED</t>
  </si>
  <si>
    <t>Filler Bag C Printed</t>
  </si>
  <si>
    <t>Pcs.</t>
  </si>
  <si>
    <t>PKC-027</t>
  </si>
  <si>
    <t>Filler Bag C White</t>
  </si>
  <si>
    <t>PKD-028</t>
  </si>
  <si>
    <t>Color Packet D Printed</t>
  </si>
  <si>
    <t>PKD-029</t>
  </si>
  <si>
    <t>Color Packet D Clear</t>
  </si>
  <si>
    <t>PKA-030</t>
  </si>
  <si>
    <t>Resin A Sticker</t>
  </si>
  <si>
    <t>PKB-031</t>
  </si>
  <si>
    <t>Hardner B Sticker</t>
  </si>
  <si>
    <t>PKC-032</t>
  </si>
  <si>
    <t>Filler C Sticker</t>
  </si>
  <si>
    <t>PKD-033</t>
  </si>
  <si>
    <t>Color D Sticker</t>
  </si>
  <si>
    <t>PKAB-034</t>
  </si>
  <si>
    <t>Gallon A/B</t>
  </si>
  <si>
    <t>PKD-035</t>
  </si>
  <si>
    <t>Color Cartoon</t>
  </si>
  <si>
    <t>Pcs</t>
  </si>
  <si>
    <t>মেয়াদকালীন ডেবিট (Period Debit)</t>
  </si>
  <si>
    <t>মেয়াদকালীন ক্রেডিট (Period Credit)</t>
  </si>
  <si>
    <t>সমাপনী ডেবিট (Closing Debit)</t>
  </si>
  <si>
    <t>সমাপনী ক্রেডিট (Closing Credit)</t>
  </si>
  <si>
    <t>তারিখ পর্যন্ত (As of):</t>
  </si>
  <si>
    <t>রাজস্ব/বিক্রয় (Revenue)</t>
  </si>
  <si>
    <t>বিক্রীত পণ্যের খরচ (COGS)</t>
  </si>
  <si>
    <t>মোট মুনাফা (Gross Profit)</t>
  </si>
  <si>
    <t>মোট মুনাফার হার % (Gross Margin %)</t>
  </si>
  <si>
    <t>বাদ: সাধারণ পরিচালন খরচ (Less: Shared Operating Expenses)</t>
  </si>
  <si>
    <t>যোগ: অন্যান্য আয় (Add: Other Income)</t>
  </si>
  <si>
    <t>নীট মুনাফা (NET PROFIT)</t>
  </si>
  <si>
    <t>সম্পদ (ASSETS)</t>
  </si>
  <si>
    <t>মোট সম্পদ (Total Assets)</t>
  </si>
  <si>
    <t>দায় (LIABILITIES)</t>
  </si>
  <si>
    <t>মোট দায় (Total Liabilities)</t>
  </si>
  <si>
    <t>মালিকানা স্বত্ব (EQUITY)</t>
  </si>
  <si>
    <t>মালিকের মূলধন ও সঞ্চিতি (Owner's Capital &amp; Reserves, per GL)</t>
  </si>
  <si>
    <t>চলতি মেয়াদের নীট মুনাফা (Current Period Net Profit, from P&amp;L by Segment)</t>
  </si>
  <si>
    <t>মোট মালিকানা স্বত্ব (Total Equity)</t>
  </si>
  <si>
    <t>মোট দায় + মালিকানা স্বত্ব (Total Liabilities + Equity)</t>
  </si>
  <si>
    <t>মিলকরণ যাচাই (Check: Assets - Liabilities - Equity) — অবশ্যই ০ হতে হবে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</si>
</sst>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%"/>
  </numFmts>
  <fonts count="11">
    <font>
      <sz val="11.0"/>
      <color theme="1"/>
      <name val="Calibri"/>
      <scheme val="minor"/>
    </font>
    <font>
      <b/>
      <sz val="16.0"/>
      <color rgb="FF1F4E78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0000FF"/>
      <name val="Arial"/>
    </font>
    <font>
      <sz val="11.0"/>
      <color theme="1"/>
      <name val="Arial"/>
    </font>
    <font>
      <b/>
      <sz val="12.0"/>
      <color rgb="FF1F4E78"/>
      <name val="Arial"/>
    </font>
    <font>
      <sz val="10.0"/>
      <color rgb="FF000000"/>
      <name val="Arial"/>
    </font>
    <font>
      <sz val="11.0"/>
      <color rgb="FF0000FF"/>
      <name val="Cambria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164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center"/>
    </xf>
    <xf borderId="3" fillId="0" fontId="9" numFmtId="0" xfId="0" applyAlignment="1" applyBorder="1" applyFont="1">
      <alignment readingOrder="0" vertical="center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/>
    </xf>
    <xf borderId="1" fillId="0" fontId="7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shrinkToFit="0" vertical="center" wrapText="0"/>
    </xf>
    <xf borderId="4" fillId="0" fontId="7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vertical="center"/>
    </xf>
    <xf borderId="0" fillId="0" fontId="9" numFmtId="0" xfId="0" applyAlignment="1" applyFont="1">
      <alignment readingOrder="0" vertical="center"/>
    </xf>
    <xf borderId="3" fillId="0" fontId="9" numFmtId="0" xfId="0" applyAlignment="1" applyBorder="1" applyFont="1">
      <alignment vertical="center"/>
    </xf>
    <xf borderId="0" fillId="0" fontId="7" numFmtId="164" xfId="0" applyAlignment="1" applyFont="1" applyNumberFormat="1">
      <alignment shrinkToFit="0" vertical="bottom" wrapText="0"/>
    </xf>
    <xf borderId="1" fillId="0" fontId="7" numFmtId="165" xfId="0" applyAlignment="1" applyBorder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 ht="15.0" customHeight="1">
      <c r="A2" s="5"/>
    </row>
    <row r="3" ht="15.0" customHeight="1">
      <c r="A3" s="6" t="s">
        <v>9</v>
      </c>
    </row>
    <row r="4" ht="15.0" customHeight="1">
      <c r="A4" s="5" t="s">
        <v>11</v>
      </c>
    </row>
    <row r="5" ht="15.0" customHeight="1">
      <c r="A5" s="5" t="s">
        <v>12</v>
      </c>
    </row>
    <row r="6" ht="30.0" customHeight="1">
      <c r="A6" s="5" t="s">
        <v>14</v>
      </c>
    </row>
    <row r="7" ht="15.0" customHeight="1">
      <c r="A7" s="5"/>
    </row>
    <row r="8" ht="15.0" customHeight="1">
      <c r="A8" s="6" t="s">
        <v>17</v>
      </c>
    </row>
    <row r="9" ht="30.0" customHeight="1">
      <c r="A9" s="5" t="s">
        <v>21</v>
      </c>
    </row>
    <row r="10" ht="30.0" customHeight="1">
      <c r="A10" s="5" t="s">
        <v>23</v>
      </c>
    </row>
    <row r="11" ht="30.0" customHeight="1">
      <c r="A11" s="5" t="s">
        <v>25</v>
      </c>
    </row>
    <row r="12" ht="30.0" customHeight="1">
      <c r="A12" s="5" t="s">
        <v>26</v>
      </c>
    </row>
    <row r="13" ht="30.0" customHeight="1">
      <c r="A13" s="5" t="s">
        <v>29</v>
      </c>
    </row>
    <row r="14" ht="30.0" customHeight="1">
      <c r="A14" s="5" t="s">
        <v>32</v>
      </c>
    </row>
    <row r="15" ht="30.0" customHeight="1">
      <c r="A15" s="5" t="s">
        <v>34</v>
      </c>
    </row>
    <row r="16" ht="30.0" customHeight="1">
      <c r="A16" s="5" t="s">
        <v>37</v>
      </c>
    </row>
    <row r="17" ht="15.0" customHeight="1">
      <c r="A17" s="5"/>
    </row>
    <row r="18" ht="15.0" customHeight="1">
      <c r="A18" s="6" t="s">
        <v>39</v>
      </c>
    </row>
    <row r="19" ht="30.0" customHeight="1">
      <c r="A19" s="5" t="s">
        <v>41</v>
      </c>
    </row>
    <row r="20" ht="15.0" customHeight="1">
      <c r="A20" s="5"/>
    </row>
    <row r="21" ht="30.0" customHeight="1">
      <c r="A21" s="5" t="s">
        <v>43</v>
      </c>
    </row>
    <row r="22" ht="15.0" customHeight="1">
      <c r="A22" s="5"/>
    </row>
    <row r="23" ht="30.0" customHeight="1">
      <c r="A23" s="5" t="s">
        <v>44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4" width="16.0"/>
    <col customWidth="1" min="5" max="5" width="19.0"/>
    <col customWidth="1" min="6" max="26" width="8.71"/>
  </cols>
  <sheetData>
    <row r="1" ht="33.75" customHeight="1">
      <c r="A1" s="3" t="s">
        <v>1</v>
      </c>
      <c r="B1" s="3" t="s">
        <v>3</v>
      </c>
      <c r="C1" s="3" t="s">
        <v>5</v>
      </c>
      <c r="D1" s="3" t="s">
        <v>6</v>
      </c>
      <c r="E1" s="3" t="s">
        <v>7</v>
      </c>
    </row>
    <row r="2">
      <c r="A2" s="7">
        <v>1000.0</v>
      </c>
      <c r="B2" s="7" t="s">
        <v>15</v>
      </c>
      <c r="C2" s="7" t="s">
        <v>16</v>
      </c>
      <c r="D2" s="7" t="s">
        <v>18</v>
      </c>
      <c r="E2" s="7" t="s">
        <v>20</v>
      </c>
    </row>
    <row r="3">
      <c r="A3" s="7">
        <v>1005.0</v>
      </c>
      <c r="B3" s="7" t="s">
        <v>22</v>
      </c>
      <c r="C3" s="7" t="s">
        <v>16</v>
      </c>
      <c r="D3" s="7" t="s">
        <v>18</v>
      </c>
      <c r="E3" s="7" t="s">
        <v>20</v>
      </c>
    </row>
    <row r="4">
      <c r="A4" s="7">
        <v>1010.0</v>
      </c>
      <c r="B4" s="7" t="s">
        <v>27</v>
      </c>
      <c r="C4" s="7" t="s">
        <v>16</v>
      </c>
      <c r="D4" s="7" t="s">
        <v>18</v>
      </c>
      <c r="E4" s="7" t="s">
        <v>20</v>
      </c>
    </row>
    <row r="5">
      <c r="A5" s="7">
        <v>1011.0</v>
      </c>
      <c r="B5" s="7" t="s">
        <v>31</v>
      </c>
      <c r="C5" s="7" t="s">
        <v>16</v>
      </c>
      <c r="D5" s="7" t="s">
        <v>18</v>
      </c>
      <c r="E5" s="7" t="s">
        <v>20</v>
      </c>
    </row>
    <row r="6">
      <c r="A6" s="7">
        <v>1020.0</v>
      </c>
      <c r="B6" s="7" t="s">
        <v>35</v>
      </c>
      <c r="C6" s="7" t="s">
        <v>16</v>
      </c>
      <c r="D6" s="7" t="s">
        <v>36</v>
      </c>
      <c r="E6" s="7" t="s">
        <v>20</v>
      </c>
    </row>
    <row r="7">
      <c r="A7" s="7">
        <v>1100.0</v>
      </c>
      <c r="B7" s="7" t="s">
        <v>38</v>
      </c>
      <c r="C7" s="7" t="s">
        <v>16</v>
      </c>
      <c r="D7" s="7" t="s">
        <v>18</v>
      </c>
      <c r="E7" s="7" t="s">
        <v>20</v>
      </c>
    </row>
    <row r="8">
      <c r="A8" s="7">
        <v>1101.0</v>
      </c>
      <c r="B8" s="7" t="s">
        <v>40</v>
      </c>
      <c r="C8" s="7" t="s">
        <v>16</v>
      </c>
      <c r="D8" s="7" t="s">
        <v>18</v>
      </c>
      <c r="E8" s="7" t="s">
        <v>20</v>
      </c>
    </row>
    <row r="9">
      <c r="A9" s="7">
        <v>1110.0</v>
      </c>
      <c r="B9" s="7" t="s">
        <v>42</v>
      </c>
      <c r="C9" s="7" t="s">
        <v>16</v>
      </c>
      <c r="D9" s="7" t="s">
        <v>18</v>
      </c>
      <c r="E9" s="7" t="s">
        <v>20</v>
      </c>
    </row>
    <row r="10">
      <c r="A10" s="7">
        <v>1120.0</v>
      </c>
      <c r="B10" s="7" t="s">
        <v>45</v>
      </c>
      <c r="C10" s="7" t="s">
        <v>16</v>
      </c>
      <c r="D10" s="7" t="s">
        <v>18</v>
      </c>
      <c r="E10" s="7" t="s">
        <v>20</v>
      </c>
    </row>
    <row r="11">
      <c r="A11" s="7">
        <v>1130.0</v>
      </c>
      <c r="B11" s="7" t="s">
        <v>46</v>
      </c>
      <c r="C11" s="7" t="s">
        <v>16</v>
      </c>
      <c r="D11" s="7" t="s">
        <v>18</v>
      </c>
      <c r="E11" s="7" t="s">
        <v>20</v>
      </c>
    </row>
    <row r="12">
      <c r="A12" s="7">
        <v>1140.0</v>
      </c>
      <c r="B12" s="7" t="s">
        <v>47</v>
      </c>
      <c r="C12" s="7" t="s">
        <v>16</v>
      </c>
      <c r="D12" s="7" t="s">
        <v>18</v>
      </c>
      <c r="E12" s="7" t="s">
        <v>20</v>
      </c>
    </row>
    <row r="13">
      <c r="A13" s="7">
        <v>1150.0</v>
      </c>
      <c r="B13" s="7" t="s">
        <v>49</v>
      </c>
      <c r="C13" s="7" t="s">
        <v>16</v>
      </c>
      <c r="D13" s="7" t="s">
        <v>18</v>
      </c>
      <c r="E13" s="7" t="s">
        <v>20</v>
      </c>
    </row>
    <row r="14">
      <c r="A14" s="7">
        <v>1200.0</v>
      </c>
      <c r="B14" s="7" t="s">
        <v>50</v>
      </c>
      <c r="C14" s="7" t="s">
        <v>16</v>
      </c>
      <c r="D14" s="7" t="s">
        <v>36</v>
      </c>
      <c r="E14" s="7" t="s">
        <v>20</v>
      </c>
    </row>
    <row r="15">
      <c r="A15" s="7">
        <v>1210.0</v>
      </c>
      <c r="B15" s="7" t="s">
        <v>51</v>
      </c>
      <c r="C15" s="7" t="s">
        <v>16</v>
      </c>
      <c r="D15" s="7" t="s">
        <v>52</v>
      </c>
      <c r="E15" s="7" t="s">
        <v>20</v>
      </c>
    </row>
    <row r="16">
      <c r="A16" s="7">
        <v>1220.0</v>
      </c>
      <c r="B16" s="7" t="s">
        <v>53</v>
      </c>
      <c r="C16" s="7" t="s">
        <v>16</v>
      </c>
      <c r="D16" s="7" t="s">
        <v>52</v>
      </c>
      <c r="E16" s="7" t="s">
        <v>20</v>
      </c>
    </row>
    <row r="17">
      <c r="A17" s="7">
        <v>1230.0</v>
      </c>
      <c r="B17" s="7" t="s">
        <v>54</v>
      </c>
      <c r="C17" s="7" t="s">
        <v>16</v>
      </c>
      <c r="D17" s="7" t="s">
        <v>52</v>
      </c>
      <c r="E17" s="7" t="s">
        <v>20</v>
      </c>
    </row>
    <row r="18">
      <c r="A18" s="7">
        <v>1240.0</v>
      </c>
      <c r="B18" s="7" t="s">
        <v>55</v>
      </c>
      <c r="C18" s="7" t="s">
        <v>16</v>
      </c>
      <c r="D18" s="7" t="s">
        <v>56</v>
      </c>
      <c r="E18" s="7" t="s">
        <v>20</v>
      </c>
    </row>
    <row r="19">
      <c r="A19" s="7">
        <v>1250.0</v>
      </c>
      <c r="B19" s="7" t="s">
        <v>57</v>
      </c>
      <c r="C19" s="7" t="s">
        <v>16</v>
      </c>
      <c r="D19" s="7" t="s">
        <v>58</v>
      </c>
      <c r="E19" s="7" t="s">
        <v>20</v>
      </c>
    </row>
    <row r="20">
      <c r="A20" s="7">
        <v>1260.0</v>
      </c>
      <c r="B20" s="7" t="s">
        <v>59</v>
      </c>
      <c r="C20" s="7" t="s">
        <v>16</v>
      </c>
      <c r="D20" s="7" t="s">
        <v>36</v>
      </c>
      <c r="E20" s="7" t="s">
        <v>20</v>
      </c>
    </row>
    <row r="21" ht="15.75" customHeight="1">
      <c r="A21" s="7">
        <v>1300.0</v>
      </c>
      <c r="B21" s="7" t="s">
        <v>60</v>
      </c>
      <c r="C21" s="7" t="s">
        <v>16</v>
      </c>
      <c r="D21" s="7" t="s">
        <v>18</v>
      </c>
      <c r="E21" s="7" t="s">
        <v>20</v>
      </c>
    </row>
    <row r="22" ht="15.75" customHeight="1">
      <c r="A22" s="7">
        <v>1310.0</v>
      </c>
      <c r="B22" s="7" t="s">
        <v>61</v>
      </c>
      <c r="C22" s="7" t="s">
        <v>16</v>
      </c>
      <c r="D22" s="7" t="s">
        <v>18</v>
      </c>
      <c r="E22" s="7" t="s">
        <v>62</v>
      </c>
    </row>
    <row r="23" ht="15.75" customHeight="1">
      <c r="A23" s="7">
        <v>1320.0</v>
      </c>
      <c r="B23" s="7" t="s">
        <v>63</v>
      </c>
      <c r="C23" s="7" t="s">
        <v>16</v>
      </c>
      <c r="D23" s="7" t="s">
        <v>18</v>
      </c>
      <c r="E23" s="7" t="s">
        <v>20</v>
      </c>
    </row>
    <row r="24" ht="15.75" customHeight="1">
      <c r="A24" s="7">
        <v>1321.0</v>
      </c>
      <c r="B24" s="7" t="s">
        <v>64</v>
      </c>
      <c r="C24" s="7" t="s">
        <v>16</v>
      </c>
      <c r="D24" s="7" t="s">
        <v>18</v>
      </c>
      <c r="E24" s="7" t="s">
        <v>62</v>
      </c>
    </row>
    <row r="25" ht="15.75" customHeight="1">
      <c r="A25" s="7">
        <v>1330.0</v>
      </c>
      <c r="B25" s="7" t="s">
        <v>65</v>
      </c>
      <c r="C25" s="7" t="s">
        <v>16</v>
      </c>
      <c r="D25" s="7" t="s">
        <v>18</v>
      </c>
      <c r="E25" s="7" t="s">
        <v>20</v>
      </c>
    </row>
    <row r="26" ht="15.75" customHeight="1">
      <c r="A26" s="7">
        <v>1331.0</v>
      </c>
      <c r="B26" s="7" t="s">
        <v>66</v>
      </c>
      <c r="C26" s="7" t="s">
        <v>16</v>
      </c>
      <c r="D26" s="7" t="s">
        <v>18</v>
      </c>
      <c r="E26" s="7" t="s">
        <v>62</v>
      </c>
    </row>
    <row r="27" ht="15.75" customHeight="1">
      <c r="A27" s="7">
        <v>1340.0</v>
      </c>
      <c r="B27" s="7" t="s">
        <v>67</v>
      </c>
      <c r="C27" s="7" t="s">
        <v>16</v>
      </c>
      <c r="D27" s="7" t="s">
        <v>18</v>
      </c>
      <c r="E27" s="7" t="s">
        <v>20</v>
      </c>
    </row>
    <row r="28" ht="15.75" customHeight="1">
      <c r="A28" s="7">
        <v>1341.0</v>
      </c>
      <c r="B28" s="7" t="s">
        <v>68</v>
      </c>
      <c r="C28" s="7" t="s">
        <v>16</v>
      </c>
      <c r="D28" s="7" t="s">
        <v>18</v>
      </c>
      <c r="E28" s="7" t="s">
        <v>62</v>
      </c>
    </row>
    <row r="29" ht="15.75" customHeight="1">
      <c r="A29" s="7">
        <v>1350.0</v>
      </c>
      <c r="B29" s="7" t="s">
        <v>69</v>
      </c>
      <c r="C29" s="7" t="s">
        <v>16</v>
      </c>
      <c r="D29" s="7" t="s">
        <v>18</v>
      </c>
      <c r="E29" s="7" t="s">
        <v>20</v>
      </c>
    </row>
    <row r="30" ht="15.75" customHeight="1">
      <c r="A30" s="7">
        <v>1351.0</v>
      </c>
      <c r="B30" s="7" t="s">
        <v>70</v>
      </c>
      <c r="C30" s="7" t="s">
        <v>16</v>
      </c>
      <c r="D30" s="7" t="s">
        <v>18</v>
      </c>
      <c r="E30" s="7" t="s">
        <v>62</v>
      </c>
    </row>
    <row r="31" ht="15.75" customHeight="1">
      <c r="A31" s="7">
        <v>1360.0</v>
      </c>
      <c r="B31" s="7" t="s">
        <v>71</v>
      </c>
      <c r="C31" s="7" t="s">
        <v>16</v>
      </c>
      <c r="D31" s="7" t="s">
        <v>18</v>
      </c>
      <c r="E31" s="7" t="s">
        <v>20</v>
      </c>
    </row>
    <row r="32" ht="15.75" customHeight="1">
      <c r="A32" s="7">
        <v>1361.0</v>
      </c>
      <c r="B32" s="7" t="s">
        <v>72</v>
      </c>
      <c r="C32" s="7" t="s">
        <v>16</v>
      </c>
      <c r="D32" s="7" t="s">
        <v>18</v>
      </c>
      <c r="E32" s="7" t="s">
        <v>62</v>
      </c>
    </row>
    <row r="33" ht="15.75" customHeight="1">
      <c r="A33" s="7">
        <v>2000.0</v>
      </c>
      <c r="B33" s="7" t="s">
        <v>73</v>
      </c>
      <c r="C33" s="7" t="s">
        <v>74</v>
      </c>
      <c r="D33" s="7" t="s">
        <v>36</v>
      </c>
      <c r="E33" s="7" t="s">
        <v>62</v>
      </c>
    </row>
    <row r="34" ht="15.75" customHeight="1">
      <c r="A34" s="7">
        <v>2010.0</v>
      </c>
      <c r="B34" s="7" t="s">
        <v>75</v>
      </c>
      <c r="C34" s="7" t="s">
        <v>74</v>
      </c>
      <c r="D34" s="7" t="s">
        <v>18</v>
      </c>
      <c r="E34" s="7" t="s">
        <v>62</v>
      </c>
    </row>
    <row r="35" ht="15.75" customHeight="1">
      <c r="A35" s="7">
        <v>2020.0</v>
      </c>
      <c r="B35" s="7" t="s">
        <v>76</v>
      </c>
      <c r="C35" s="7" t="s">
        <v>74</v>
      </c>
      <c r="D35" s="7" t="s">
        <v>36</v>
      </c>
      <c r="E35" s="7" t="s">
        <v>62</v>
      </c>
    </row>
    <row r="36" ht="15.75" customHeight="1">
      <c r="A36" s="7">
        <v>2100.0</v>
      </c>
      <c r="B36" s="7" t="s">
        <v>77</v>
      </c>
      <c r="C36" s="7" t="s">
        <v>74</v>
      </c>
      <c r="D36" s="7" t="s">
        <v>36</v>
      </c>
      <c r="E36" s="7" t="s">
        <v>62</v>
      </c>
    </row>
    <row r="37" ht="15.75" customHeight="1">
      <c r="A37" s="7">
        <v>2110.0</v>
      </c>
      <c r="B37" s="7" t="s">
        <v>78</v>
      </c>
      <c r="C37" s="7" t="s">
        <v>74</v>
      </c>
      <c r="D37" s="7" t="s">
        <v>36</v>
      </c>
      <c r="E37" s="7" t="s">
        <v>62</v>
      </c>
    </row>
    <row r="38" ht="15.75" customHeight="1">
      <c r="A38" s="7">
        <v>2200.0</v>
      </c>
      <c r="B38" s="7" t="s">
        <v>79</v>
      </c>
      <c r="C38" s="7" t="s">
        <v>74</v>
      </c>
      <c r="D38" s="7" t="s">
        <v>18</v>
      </c>
      <c r="E38" s="7" t="s">
        <v>62</v>
      </c>
    </row>
    <row r="39" ht="15.75" customHeight="1">
      <c r="A39" s="7">
        <v>2210.0</v>
      </c>
      <c r="B39" s="7" t="s">
        <v>80</v>
      </c>
      <c r="C39" s="7" t="s">
        <v>74</v>
      </c>
      <c r="D39" s="7" t="s">
        <v>18</v>
      </c>
      <c r="E39" s="7" t="s">
        <v>62</v>
      </c>
    </row>
    <row r="40" ht="15.75" customHeight="1">
      <c r="A40" s="7">
        <v>2220.0</v>
      </c>
      <c r="B40" s="7" t="s">
        <v>81</v>
      </c>
      <c r="C40" s="7" t="s">
        <v>74</v>
      </c>
      <c r="D40" s="7" t="s">
        <v>18</v>
      </c>
      <c r="E40" s="7" t="s">
        <v>62</v>
      </c>
    </row>
    <row r="41" ht="15.75" customHeight="1">
      <c r="A41" s="7">
        <v>2300.0</v>
      </c>
      <c r="B41" s="7" t="s">
        <v>82</v>
      </c>
      <c r="C41" s="7" t="s">
        <v>74</v>
      </c>
      <c r="D41" s="7" t="s">
        <v>18</v>
      </c>
      <c r="E41" s="7" t="s">
        <v>62</v>
      </c>
    </row>
    <row r="42" ht="15.75" customHeight="1">
      <c r="A42" s="7">
        <v>2310.0</v>
      </c>
      <c r="B42" s="7" t="s">
        <v>83</v>
      </c>
      <c r="C42" s="7" t="s">
        <v>74</v>
      </c>
      <c r="D42" s="7" t="s">
        <v>18</v>
      </c>
      <c r="E42" s="7" t="s">
        <v>62</v>
      </c>
    </row>
    <row r="43" ht="15.75" customHeight="1">
      <c r="A43" s="7">
        <v>2400.0</v>
      </c>
      <c r="B43" s="7" t="s">
        <v>84</v>
      </c>
      <c r="C43" s="7" t="s">
        <v>74</v>
      </c>
      <c r="D43" s="7" t="s">
        <v>18</v>
      </c>
      <c r="E43" s="7" t="s">
        <v>62</v>
      </c>
    </row>
    <row r="44" ht="15.75" customHeight="1">
      <c r="A44" s="7">
        <v>2500.0</v>
      </c>
      <c r="B44" s="7" t="s">
        <v>85</v>
      </c>
      <c r="C44" s="7" t="s">
        <v>74</v>
      </c>
      <c r="D44" s="7" t="s">
        <v>18</v>
      </c>
      <c r="E44" s="7" t="s">
        <v>62</v>
      </c>
    </row>
    <row r="45" ht="15.75" customHeight="1">
      <c r="A45" s="7">
        <v>2510.0</v>
      </c>
      <c r="B45" s="7" t="s">
        <v>86</v>
      </c>
      <c r="C45" s="7" t="s">
        <v>74</v>
      </c>
      <c r="D45" s="7" t="s">
        <v>18</v>
      </c>
      <c r="E45" s="7" t="s">
        <v>62</v>
      </c>
    </row>
    <row r="46" ht="15.75" customHeight="1">
      <c r="A46" s="7">
        <v>3000.0</v>
      </c>
      <c r="B46" s="7" t="s">
        <v>87</v>
      </c>
      <c r="C46" s="7" t="s">
        <v>88</v>
      </c>
      <c r="D46" s="7" t="s">
        <v>18</v>
      </c>
      <c r="E46" s="7" t="s">
        <v>62</v>
      </c>
    </row>
    <row r="47" ht="15.75" customHeight="1">
      <c r="A47" s="7">
        <v>3010.0</v>
      </c>
      <c r="B47" s="7" t="s">
        <v>89</v>
      </c>
      <c r="C47" s="7" t="s">
        <v>88</v>
      </c>
      <c r="D47" s="7" t="s">
        <v>18</v>
      </c>
      <c r="E47" s="7" t="s">
        <v>20</v>
      </c>
    </row>
    <row r="48" ht="15.75" customHeight="1">
      <c r="A48" s="7">
        <v>3100.0</v>
      </c>
      <c r="B48" s="7" t="s">
        <v>90</v>
      </c>
      <c r="C48" s="7" t="s">
        <v>88</v>
      </c>
      <c r="D48" s="7" t="s">
        <v>18</v>
      </c>
      <c r="E48" s="7" t="s">
        <v>62</v>
      </c>
    </row>
    <row r="49" ht="15.75" customHeight="1">
      <c r="A49" s="7">
        <v>3200.0</v>
      </c>
      <c r="B49" s="7" t="s">
        <v>91</v>
      </c>
      <c r="C49" s="7" t="s">
        <v>88</v>
      </c>
      <c r="D49" s="7" t="s">
        <v>18</v>
      </c>
      <c r="E49" s="7" t="s">
        <v>62</v>
      </c>
    </row>
    <row r="50" ht="15.75" customHeight="1">
      <c r="A50" s="7">
        <v>4000.0</v>
      </c>
      <c r="B50" s="7" t="s">
        <v>92</v>
      </c>
      <c r="C50" s="7" t="s">
        <v>93</v>
      </c>
      <c r="D50" s="7" t="s">
        <v>36</v>
      </c>
      <c r="E50" s="7" t="s">
        <v>62</v>
      </c>
    </row>
    <row r="51" ht="15.75" customHeight="1">
      <c r="A51" s="7">
        <v>4010.0</v>
      </c>
      <c r="B51" s="7" t="s">
        <v>95</v>
      </c>
      <c r="C51" s="7" t="s">
        <v>93</v>
      </c>
      <c r="D51" s="7" t="s">
        <v>52</v>
      </c>
      <c r="E51" s="7" t="s">
        <v>62</v>
      </c>
    </row>
    <row r="52" ht="15.75" customHeight="1">
      <c r="A52" s="7">
        <v>4020.0</v>
      </c>
      <c r="B52" s="7" t="s">
        <v>96</v>
      </c>
      <c r="C52" s="7" t="s">
        <v>93</v>
      </c>
      <c r="D52" s="7" t="s">
        <v>56</v>
      </c>
      <c r="E52" s="7" t="s">
        <v>62</v>
      </c>
    </row>
    <row r="53" ht="15.75" customHeight="1">
      <c r="A53" s="7">
        <v>4030.0</v>
      </c>
      <c r="B53" s="7" t="s">
        <v>97</v>
      </c>
      <c r="C53" s="7" t="s">
        <v>93</v>
      </c>
      <c r="D53" s="7" t="s">
        <v>58</v>
      </c>
      <c r="E53" s="7" t="s">
        <v>62</v>
      </c>
    </row>
    <row r="54" ht="15.75" customHeight="1">
      <c r="A54" s="7">
        <v>4040.0</v>
      </c>
      <c r="B54" s="7" t="s">
        <v>98</v>
      </c>
      <c r="C54" s="7" t="s">
        <v>93</v>
      </c>
      <c r="D54" s="7" t="s">
        <v>99</v>
      </c>
      <c r="E54" s="7" t="s">
        <v>62</v>
      </c>
    </row>
    <row r="55" ht="15.75" customHeight="1">
      <c r="A55" s="7">
        <v>4100.0</v>
      </c>
      <c r="B55" s="7" t="s">
        <v>101</v>
      </c>
      <c r="C55" s="7" t="s">
        <v>93</v>
      </c>
      <c r="D55" s="7" t="s">
        <v>18</v>
      </c>
      <c r="E55" s="7" t="s">
        <v>20</v>
      </c>
    </row>
    <row r="56" ht="15.75" customHeight="1">
      <c r="A56" s="7">
        <v>4110.0</v>
      </c>
      <c r="B56" s="7" t="s">
        <v>104</v>
      </c>
      <c r="C56" s="7" t="s">
        <v>93</v>
      </c>
      <c r="D56" s="7" t="s">
        <v>18</v>
      </c>
      <c r="E56" s="7" t="s">
        <v>20</v>
      </c>
    </row>
    <row r="57" ht="15.75" customHeight="1">
      <c r="A57" s="7">
        <v>5000.0</v>
      </c>
      <c r="B57" s="7" t="s">
        <v>105</v>
      </c>
      <c r="C57" s="7" t="s">
        <v>106</v>
      </c>
      <c r="D57" s="7" t="s">
        <v>36</v>
      </c>
      <c r="E57" s="7" t="s">
        <v>20</v>
      </c>
    </row>
    <row r="58" ht="15.75" customHeight="1">
      <c r="A58" s="7">
        <v>5010.0</v>
      </c>
      <c r="B58" s="7" t="s">
        <v>107</v>
      </c>
      <c r="C58" s="7" t="s">
        <v>106</v>
      </c>
      <c r="D58" s="7" t="s">
        <v>52</v>
      </c>
      <c r="E58" s="7" t="s">
        <v>20</v>
      </c>
    </row>
    <row r="59" ht="15.75" customHeight="1">
      <c r="A59" s="7">
        <v>5011.0</v>
      </c>
      <c r="B59" s="7" t="s">
        <v>108</v>
      </c>
      <c r="C59" s="7" t="s">
        <v>106</v>
      </c>
      <c r="D59" s="7" t="s">
        <v>52</v>
      </c>
      <c r="E59" s="7" t="s">
        <v>20</v>
      </c>
    </row>
    <row r="60" ht="15.75" customHeight="1">
      <c r="A60" s="7">
        <v>5012.0</v>
      </c>
      <c r="B60" s="7" t="s">
        <v>109</v>
      </c>
      <c r="C60" s="7" t="s">
        <v>106</v>
      </c>
      <c r="D60" s="7" t="s">
        <v>52</v>
      </c>
      <c r="E60" s="7" t="s">
        <v>20</v>
      </c>
    </row>
    <row r="61" ht="15.75" customHeight="1">
      <c r="A61" s="7">
        <v>5020.0</v>
      </c>
      <c r="B61" s="7" t="s">
        <v>110</v>
      </c>
      <c r="C61" s="7" t="s">
        <v>106</v>
      </c>
      <c r="D61" s="7" t="s">
        <v>56</v>
      </c>
      <c r="E61" s="7" t="s">
        <v>20</v>
      </c>
    </row>
    <row r="62" ht="15.75" customHeight="1">
      <c r="A62" s="7">
        <v>5030.0</v>
      </c>
      <c r="B62" s="7" t="s">
        <v>111</v>
      </c>
      <c r="C62" s="7" t="s">
        <v>106</v>
      </c>
      <c r="D62" s="7" t="s">
        <v>58</v>
      </c>
      <c r="E62" s="7" t="s">
        <v>20</v>
      </c>
    </row>
    <row r="63" ht="15.75" customHeight="1">
      <c r="A63" s="7">
        <v>5040.0</v>
      </c>
      <c r="B63" s="7" t="s">
        <v>112</v>
      </c>
      <c r="C63" s="7" t="s">
        <v>106</v>
      </c>
      <c r="D63" s="7" t="s">
        <v>36</v>
      </c>
      <c r="E63" s="7" t="s">
        <v>20</v>
      </c>
    </row>
    <row r="64" ht="15.75" customHeight="1">
      <c r="A64" s="7">
        <v>5050.0</v>
      </c>
      <c r="B64" s="7" t="s">
        <v>113</v>
      </c>
      <c r="C64" s="7" t="s">
        <v>106</v>
      </c>
      <c r="D64" s="7" t="s">
        <v>36</v>
      </c>
      <c r="E64" s="7" t="s">
        <v>20</v>
      </c>
    </row>
    <row r="65" ht="15.75" customHeight="1">
      <c r="A65" s="7">
        <v>5060.0</v>
      </c>
      <c r="B65" s="7" t="s">
        <v>114</v>
      </c>
      <c r="C65" s="7" t="s">
        <v>106</v>
      </c>
      <c r="D65" s="7" t="s">
        <v>36</v>
      </c>
      <c r="E65" s="7" t="s">
        <v>20</v>
      </c>
    </row>
    <row r="66" ht="15.75" customHeight="1">
      <c r="A66" s="7">
        <v>5070.0</v>
      </c>
      <c r="B66" s="7" t="s">
        <v>115</v>
      </c>
      <c r="C66" s="7" t="s">
        <v>106</v>
      </c>
      <c r="D66" s="7" t="s">
        <v>36</v>
      </c>
      <c r="E66" s="7" t="s">
        <v>20</v>
      </c>
    </row>
    <row r="67" ht="15.75" customHeight="1">
      <c r="A67" s="7">
        <v>6000.0</v>
      </c>
      <c r="B67" s="7" t="s">
        <v>116</v>
      </c>
      <c r="C67" s="7" t="s">
        <v>117</v>
      </c>
      <c r="D67" s="7" t="s">
        <v>18</v>
      </c>
      <c r="E67" s="7" t="s">
        <v>20</v>
      </c>
    </row>
    <row r="68" ht="15.75" customHeight="1">
      <c r="A68" s="7">
        <v>6010.0</v>
      </c>
      <c r="B68" s="7" t="s">
        <v>119</v>
      </c>
      <c r="C68" s="7" t="s">
        <v>117</v>
      </c>
      <c r="D68" s="7" t="s">
        <v>18</v>
      </c>
      <c r="E68" s="7" t="s">
        <v>20</v>
      </c>
    </row>
    <row r="69" ht="15.75" customHeight="1">
      <c r="A69" s="7">
        <v>6020.0</v>
      </c>
      <c r="B69" s="7" t="s">
        <v>120</v>
      </c>
      <c r="C69" s="7" t="s">
        <v>117</v>
      </c>
      <c r="D69" s="7" t="s">
        <v>18</v>
      </c>
      <c r="E69" s="7" t="s">
        <v>20</v>
      </c>
    </row>
    <row r="70" ht="15.75" customHeight="1">
      <c r="A70" s="7">
        <v>6030.0</v>
      </c>
      <c r="B70" s="7" t="s">
        <v>122</v>
      </c>
      <c r="C70" s="7" t="s">
        <v>117</v>
      </c>
      <c r="D70" s="7" t="s">
        <v>18</v>
      </c>
      <c r="E70" s="7" t="s">
        <v>20</v>
      </c>
    </row>
    <row r="71" ht="15.75" customHeight="1">
      <c r="A71" s="7">
        <v>6040.0</v>
      </c>
      <c r="B71" s="7" t="s">
        <v>125</v>
      </c>
      <c r="C71" s="7" t="s">
        <v>117</v>
      </c>
      <c r="D71" s="7" t="s">
        <v>18</v>
      </c>
      <c r="E71" s="7" t="s">
        <v>20</v>
      </c>
    </row>
    <row r="72" ht="15.75" customHeight="1">
      <c r="A72" s="7">
        <v>6050.0</v>
      </c>
      <c r="B72" s="7" t="s">
        <v>127</v>
      </c>
      <c r="C72" s="7" t="s">
        <v>117</v>
      </c>
      <c r="D72" s="7" t="s">
        <v>18</v>
      </c>
      <c r="E72" s="7" t="s">
        <v>20</v>
      </c>
    </row>
    <row r="73" ht="15.75" customHeight="1">
      <c r="A73" s="7">
        <v>6060.0</v>
      </c>
      <c r="B73" s="7" t="s">
        <v>128</v>
      </c>
      <c r="C73" s="7" t="s">
        <v>117</v>
      </c>
      <c r="D73" s="7" t="s">
        <v>18</v>
      </c>
      <c r="E73" s="7" t="s">
        <v>20</v>
      </c>
    </row>
    <row r="74" ht="15.75" customHeight="1">
      <c r="A74" s="7">
        <v>6070.0</v>
      </c>
      <c r="B74" s="7" t="s">
        <v>131</v>
      </c>
      <c r="C74" s="7" t="s">
        <v>117</v>
      </c>
      <c r="D74" s="7" t="s">
        <v>18</v>
      </c>
      <c r="E74" s="7" t="s">
        <v>20</v>
      </c>
    </row>
    <row r="75" ht="15.75" customHeight="1">
      <c r="A75" s="7">
        <v>6080.0</v>
      </c>
      <c r="B75" s="7" t="s">
        <v>132</v>
      </c>
      <c r="C75" s="7" t="s">
        <v>117</v>
      </c>
      <c r="D75" s="7" t="s">
        <v>18</v>
      </c>
      <c r="E75" s="7" t="s">
        <v>20</v>
      </c>
    </row>
    <row r="76" ht="15.75" customHeight="1">
      <c r="A76" s="7">
        <v>6090.0</v>
      </c>
      <c r="B76" s="7" t="s">
        <v>133</v>
      </c>
      <c r="C76" s="7" t="s">
        <v>117</v>
      </c>
      <c r="D76" s="7" t="s">
        <v>18</v>
      </c>
      <c r="E76" s="7" t="s">
        <v>20</v>
      </c>
    </row>
    <row r="77" ht="15.75" customHeight="1">
      <c r="A77" s="7">
        <v>6100.0</v>
      </c>
      <c r="B77" s="7" t="s">
        <v>134</v>
      </c>
      <c r="C77" s="7" t="s">
        <v>117</v>
      </c>
      <c r="D77" s="7" t="s">
        <v>18</v>
      </c>
      <c r="E77" s="7" t="s">
        <v>20</v>
      </c>
    </row>
    <row r="78" ht="15.75" customHeight="1">
      <c r="A78" s="7">
        <v>6110.0</v>
      </c>
      <c r="B78" s="7" t="s">
        <v>135</v>
      </c>
      <c r="C78" s="7" t="s">
        <v>117</v>
      </c>
      <c r="D78" s="7" t="s">
        <v>18</v>
      </c>
      <c r="E78" s="7" t="s">
        <v>20</v>
      </c>
    </row>
    <row r="79" ht="15.75" customHeight="1">
      <c r="A79" s="7">
        <v>6120.0</v>
      </c>
      <c r="B79" s="7" t="s">
        <v>136</v>
      </c>
      <c r="C79" s="7" t="s">
        <v>117</v>
      </c>
      <c r="D79" s="7" t="s">
        <v>18</v>
      </c>
      <c r="E79" s="7" t="s">
        <v>20</v>
      </c>
    </row>
    <row r="80" ht="15.75" customHeight="1">
      <c r="A80" s="7">
        <v>6130.0</v>
      </c>
      <c r="B80" s="7" t="s">
        <v>137</v>
      </c>
      <c r="C80" s="7" t="s">
        <v>117</v>
      </c>
      <c r="D80" s="7" t="s">
        <v>18</v>
      </c>
      <c r="E80" s="7" t="s">
        <v>20</v>
      </c>
    </row>
    <row r="81" ht="15.75" customHeight="1">
      <c r="A81" s="7">
        <v>6140.0</v>
      </c>
      <c r="B81" s="7" t="s">
        <v>138</v>
      </c>
      <c r="C81" s="7" t="s">
        <v>117</v>
      </c>
      <c r="D81" s="7" t="s">
        <v>18</v>
      </c>
      <c r="E81" s="7" t="s">
        <v>20</v>
      </c>
    </row>
    <row r="82" ht="15.75" customHeight="1">
      <c r="A82" s="7">
        <v>6200.0</v>
      </c>
      <c r="B82" s="7" t="s">
        <v>139</v>
      </c>
      <c r="C82" s="7" t="s">
        <v>117</v>
      </c>
      <c r="D82" s="7" t="s">
        <v>18</v>
      </c>
      <c r="E82" s="7" t="s">
        <v>20</v>
      </c>
    </row>
    <row r="83" ht="15.75" customHeight="1">
      <c r="A83" s="7">
        <v>6210.0</v>
      </c>
      <c r="B83" s="7" t="s">
        <v>140</v>
      </c>
      <c r="C83" s="7" t="s">
        <v>117</v>
      </c>
      <c r="D83" s="7" t="s">
        <v>18</v>
      </c>
      <c r="E83" s="7" t="s">
        <v>20</v>
      </c>
    </row>
    <row r="84" ht="15.75" customHeight="1">
      <c r="A84" s="7">
        <v>6220.0</v>
      </c>
      <c r="B84" s="7" t="s">
        <v>142</v>
      </c>
      <c r="C84" s="7" t="s">
        <v>117</v>
      </c>
      <c r="D84" s="7" t="s">
        <v>18</v>
      </c>
      <c r="E84" s="7" t="s">
        <v>20</v>
      </c>
    </row>
    <row r="85" ht="15.75" customHeight="1">
      <c r="A85" s="7">
        <v>6230.0</v>
      </c>
      <c r="B85" s="7" t="s">
        <v>143</v>
      </c>
      <c r="C85" s="7" t="s">
        <v>117</v>
      </c>
      <c r="D85" s="7" t="s">
        <v>18</v>
      </c>
      <c r="E85" s="7" t="s">
        <v>20</v>
      </c>
    </row>
    <row r="86" ht="15.75" customHeight="1">
      <c r="A86" s="7">
        <v>6300.0</v>
      </c>
      <c r="B86" s="7" t="s">
        <v>144</v>
      </c>
      <c r="C86" s="7" t="s">
        <v>117</v>
      </c>
      <c r="D86" s="7" t="s">
        <v>18</v>
      </c>
      <c r="E86" s="7" t="s">
        <v>20</v>
      </c>
    </row>
    <row r="87" ht="15.75" customHeight="1">
      <c r="A87" s="7">
        <v>6310.0</v>
      </c>
      <c r="B87" s="7" t="s">
        <v>145</v>
      </c>
      <c r="C87" s="7" t="s">
        <v>117</v>
      </c>
      <c r="D87" s="7" t="s">
        <v>18</v>
      </c>
      <c r="E87" s="7" t="s">
        <v>20</v>
      </c>
    </row>
    <row r="88" ht="15.75" customHeight="1">
      <c r="A88" s="7">
        <v>7000.0</v>
      </c>
      <c r="B88" s="7" t="s">
        <v>147</v>
      </c>
      <c r="C88" s="7" t="s">
        <v>148</v>
      </c>
      <c r="D88" s="7" t="s">
        <v>18</v>
      </c>
      <c r="E88" s="7" t="s">
        <v>62</v>
      </c>
    </row>
    <row r="89" ht="15.75" customHeight="1">
      <c r="A89" s="7">
        <v>7010.0</v>
      </c>
      <c r="B89" s="7" t="s">
        <v>150</v>
      </c>
      <c r="C89" s="7" t="s">
        <v>148</v>
      </c>
      <c r="D89" s="7" t="s">
        <v>18</v>
      </c>
      <c r="E89" s="7" t="s">
        <v>62</v>
      </c>
    </row>
    <row r="90" ht="15.75" customHeight="1">
      <c r="A90" s="7">
        <v>7020.0</v>
      </c>
      <c r="B90" s="7" t="s">
        <v>151</v>
      </c>
      <c r="C90" s="7" t="s">
        <v>148</v>
      </c>
      <c r="D90" s="7" t="s">
        <v>18</v>
      </c>
      <c r="E90" s="7" t="s">
        <v>62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4" width="16.0"/>
    <col customWidth="1" min="5" max="26" width="8.71"/>
  </cols>
  <sheetData>
    <row r="1">
      <c r="A1" s="2" t="s">
        <v>2</v>
      </c>
      <c r="B1" s="4">
        <v>46266.0</v>
      </c>
    </row>
    <row r="3" ht="33.75" customHeight="1">
      <c r="A3" s="3" t="s">
        <v>1</v>
      </c>
      <c r="B3" s="3" t="s">
        <v>3</v>
      </c>
      <c r="C3" s="3" t="s">
        <v>13</v>
      </c>
      <c r="D3" s="3" t="s">
        <v>19</v>
      </c>
    </row>
    <row r="4">
      <c r="A4" s="7">
        <v>1010.0</v>
      </c>
      <c r="B4" s="8" t="str">
        <f t="array" ref="B4">IFERROR(INDEX('Chart of Accounts'!$B:$B,MATCH(A4,'Chart of Accounts'!$A:$A,0)),"")</f>
        <v>Bank Account - Main</v>
      </c>
      <c r="C4" s="7">
        <v>500000.0</v>
      </c>
      <c r="D4" s="7">
        <v>0.0</v>
      </c>
    </row>
    <row r="5">
      <c r="A5" s="7">
        <v>1200.0</v>
      </c>
      <c r="B5" s="8" t="str">
        <f t="array" ref="B5">IFERROR(INDEX('Chart of Accounts'!$B:$B,MATCH(A5,'Chart of Accounts'!$A:$A,0)),"")</f>
        <v>Inventory - Imported Goods</v>
      </c>
      <c r="C5" s="7">
        <v>100000.0</v>
      </c>
      <c r="D5" s="7">
        <v>0.0</v>
      </c>
    </row>
    <row r="6">
      <c r="A6" s="7">
        <v>1210.0</v>
      </c>
      <c r="B6" s="8" t="str">
        <f t="array" ref="B6">IFERROR(INDEX('Chart of Accounts'!$B:$B,MATCH(A6,'Chart of Accounts'!$A:$A,0)),"")</f>
        <v>Inventory - Raw Materials</v>
      </c>
      <c r="C6" s="7">
        <v>90000.0</v>
      </c>
      <c r="D6" s="7">
        <v>0.0</v>
      </c>
    </row>
    <row r="7">
      <c r="A7" s="7">
        <v>1240.0</v>
      </c>
      <c r="B7" s="8" t="str">
        <f t="array" ref="B7">IFERROR(INDEX('Chart of Accounts'!$B:$B,MATCH(A7,'Chart of Accounts'!$A:$A,0)),"")</f>
        <v>Inventory - Packaging Materials</v>
      </c>
      <c r="C7" s="7">
        <v>20000.0</v>
      </c>
      <c r="D7" s="7">
        <v>0.0</v>
      </c>
    </row>
    <row r="8">
      <c r="A8" s="7">
        <v>1250.0</v>
      </c>
      <c r="B8" s="8" t="str">
        <f t="array" ref="B8">IFERROR(INDEX('Chart of Accounts'!$B:$B,MATCH(A8,'Chart of Accounts'!$A:$A,0)),"")</f>
        <v>Inventory - Trading Stock</v>
      </c>
      <c r="C8" s="7">
        <v>90000.0</v>
      </c>
      <c r="D8" s="7">
        <v>0.0</v>
      </c>
    </row>
    <row r="9">
      <c r="A9" s="7">
        <v>3200.0</v>
      </c>
      <c r="B9" s="8" t="str">
        <f t="array" ref="B9">IFERROR(INDEX('Chart of Accounts'!$B:$B,MATCH(A9,'Chart of Accounts'!$A:$A,0)),"")</f>
        <v>Opening Balance Equity</v>
      </c>
      <c r="C9" s="7">
        <v>0.0</v>
      </c>
      <c r="D9" s="7">
        <v>800000.0</v>
      </c>
    </row>
    <row r="11">
      <c r="B11" s="2" t="s">
        <v>94</v>
      </c>
      <c r="C11" s="2">
        <f t="shared" ref="C11:D11" si="1">SUM(C4:C9)</f>
        <v>800000</v>
      </c>
      <c r="D11" s="2">
        <f t="shared" si="1"/>
        <v>800000</v>
      </c>
    </row>
    <row r="12">
      <c r="B12" s="2" t="s">
        <v>103</v>
      </c>
      <c r="C12" s="2">
        <f>C11-D11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30.0"/>
    <col customWidth="1" min="6" max="8" width="16.0"/>
    <col customWidth="1" min="9" max="9" width="42.0"/>
    <col customWidth="1" min="10" max="10" width="16.0"/>
    <col customWidth="1" min="11" max="26" width="8.71"/>
  </cols>
  <sheetData>
    <row r="1" ht="33.75" customHeight="1">
      <c r="A1" s="3" t="s">
        <v>4</v>
      </c>
      <c r="B1" s="3" t="s">
        <v>8</v>
      </c>
      <c r="C1" s="3" t="s">
        <v>10</v>
      </c>
      <c r="D1" s="3" t="s">
        <v>1</v>
      </c>
      <c r="E1" s="3" t="s">
        <v>3</v>
      </c>
      <c r="F1" s="3" t="s">
        <v>6</v>
      </c>
      <c r="G1" s="3" t="s">
        <v>24</v>
      </c>
      <c r="H1" s="3" t="s">
        <v>28</v>
      </c>
      <c r="I1" s="3" t="s">
        <v>30</v>
      </c>
      <c r="J1" s="3" t="s">
        <v>33</v>
      </c>
    </row>
    <row r="2">
      <c r="A2" s="8">
        <v>1.0</v>
      </c>
      <c r="B2" s="9">
        <v>46266.0</v>
      </c>
      <c r="C2" s="7" t="s">
        <v>48</v>
      </c>
      <c r="D2" s="7">
        <v>1220.0</v>
      </c>
      <c r="E2" s="8" t="str">
        <f t="array" ref="E2">IFERROR(INDEX('Chart of Accounts'!$B:$B,MATCH(D2,'Chart of Accounts'!$A:$A,0)),"")</f>
        <v>Inventory - WIP</v>
      </c>
      <c r="F2" s="8" t="str">
        <f t="array" ref="F2">IFERROR(INDEX('Chart of Accounts'!$D:$D,MATCH(D2,'Chart of Accounts'!$A:$A,0)),"")</f>
        <v>Manufacturing</v>
      </c>
      <c r="G2" s="7">
        <v>12000.0</v>
      </c>
      <c r="H2" s="10"/>
      <c r="I2" s="7" t="s">
        <v>100</v>
      </c>
      <c r="J2" s="7" t="s">
        <v>102</v>
      </c>
    </row>
    <row r="3">
      <c r="A3" s="8">
        <v>2.0</v>
      </c>
      <c r="B3" s="9">
        <v>46266.0</v>
      </c>
      <c r="C3" s="7" t="s">
        <v>48</v>
      </c>
      <c r="D3" s="7">
        <v>1210.0</v>
      </c>
      <c r="E3" s="8" t="str">
        <f t="array" ref="E3">IFERROR(INDEX('Chart of Accounts'!$B:$B,MATCH(D3,'Chart of Accounts'!$A:$A,0)),"")</f>
        <v>Inventory - Raw Materials</v>
      </c>
      <c r="F3" s="8" t="str">
        <f t="array" ref="F3">IFERROR(INDEX('Chart of Accounts'!$D:$D,MATCH(D3,'Chart of Accounts'!$A:$A,0)),"")</f>
        <v>Manufacturing</v>
      </c>
      <c r="G3" s="10"/>
      <c r="H3" s="7">
        <v>10000.0</v>
      </c>
      <c r="I3" s="7" t="s">
        <v>124</v>
      </c>
      <c r="J3" s="7" t="s">
        <v>102</v>
      </c>
    </row>
    <row r="4">
      <c r="A4" s="8">
        <v>3.0</v>
      </c>
      <c r="B4" s="9">
        <v>46266.0</v>
      </c>
      <c r="C4" s="7" t="s">
        <v>48</v>
      </c>
      <c r="D4" s="7">
        <v>1010.0</v>
      </c>
      <c r="E4" s="8" t="str">
        <f t="array" ref="E4">IFERROR(INDEX('Chart of Accounts'!$B:$B,MATCH(D4,'Chart of Accounts'!$A:$A,0)),"")</f>
        <v>Bank Account - Main</v>
      </c>
      <c r="F4" s="8" t="str">
        <f t="array" ref="F4">IFERROR(INDEX('Chart of Accounts'!$D:$D,MATCH(D4,'Chart of Accounts'!$A:$A,0)),"")</f>
        <v>Shared</v>
      </c>
      <c r="G4" s="10"/>
      <c r="H4" s="7">
        <v>2000.0</v>
      </c>
      <c r="I4" s="7" t="s">
        <v>146</v>
      </c>
      <c r="J4" s="7" t="s">
        <v>102</v>
      </c>
    </row>
    <row r="5">
      <c r="A5" s="8">
        <v>4.0</v>
      </c>
      <c r="B5" s="9">
        <v>46266.0</v>
      </c>
      <c r="C5" s="7" t="s">
        <v>149</v>
      </c>
      <c r="D5" s="7">
        <v>1220.0</v>
      </c>
      <c r="E5" s="8" t="str">
        <f t="array" ref="E5">IFERROR(INDEX('Chart of Accounts'!$B:$B,MATCH(D5,'Chart of Accounts'!$A:$A,0)),"")</f>
        <v>Inventory - WIP</v>
      </c>
      <c r="F5" s="8" t="str">
        <f t="array" ref="F5">IFERROR(INDEX('Chart of Accounts'!$D:$D,MATCH(D5,'Chart of Accounts'!$A:$A,0)),"")</f>
        <v>Manufacturing</v>
      </c>
      <c r="G5" s="7">
        <v>3000.0</v>
      </c>
      <c r="H5" s="10"/>
      <c r="I5" s="7" t="s">
        <v>152</v>
      </c>
      <c r="J5" s="7" t="s">
        <v>102</v>
      </c>
    </row>
    <row r="6">
      <c r="A6" s="8">
        <v>5.0</v>
      </c>
      <c r="B6" s="9">
        <v>46266.0</v>
      </c>
      <c r="C6" s="7" t="s">
        <v>149</v>
      </c>
      <c r="D6" s="7">
        <v>1210.0</v>
      </c>
      <c r="E6" s="8" t="str">
        <f t="array" ref="E6">IFERROR(INDEX('Chart of Accounts'!$B:$B,MATCH(D6,'Chart of Accounts'!$A:$A,0)),"")</f>
        <v>Inventory - Raw Materials</v>
      </c>
      <c r="F6" s="8" t="str">
        <f t="array" ref="F6">IFERROR(INDEX('Chart of Accounts'!$D:$D,MATCH(D6,'Chart of Accounts'!$A:$A,0)),"")</f>
        <v>Manufacturing</v>
      </c>
      <c r="G6" s="10"/>
      <c r="H6" s="7">
        <v>2000.0</v>
      </c>
      <c r="I6" s="7" t="s">
        <v>153</v>
      </c>
      <c r="J6" s="7" t="s">
        <v>102</v>
      </c>
    </row>
    <row r="7">
      <c r="A7" s="8">
        <v>6.0</v>
      </c>
      <c r="B7" s="9">
        <v>46266.0</v>
      </c>
      <c r="C7" s="7" t="s">
        <v>149</v>
      </c>
      <c r="D7" s="7">
        <v>1010.0</v>
      </c>
      <c r="E7" s="8" t="str">
        <f t="array" ref="E7">IFERROR(INDEX('Chart of Accounts'!$B:$B,MATCH(D7,'Chart of Accounts'!$A:$A,0)),"")</f>
        <v>Bank Account - Main</v>
      </c>
      <c r="F7" s="8" t="str">
        <f t="array" ref="F7">IFERROR(INDEX('Chart of Accounts'!$D:$D,MATCH(D7,'Chart of Accounts'!$A:$A,0)),"")</f>
        <v>Shared</v>
      </c>
      <c r="G7" s="10"/>
      <c r="H7" s="7">
        <v>1000.0</v>
      </c>
      <c r="I7" s="7" t="s">
        <v>154</v>
      </c>
      <c r="J7" s="7" t="s">
        <v>102</v>
      </c>
    </row>
    <row r="8">
      <c r="A8" s="8">
        <v>7.0</v>
      </c>
      <c r="B8" s="9">
        <v>46266.0</v>
      </c>
      <c r="C8" s="7" t="s">
        <v>155</v>
      </c>
      <c r="D8" s="7">
        <v>1230.0</v>
      </c>
      <c r="E8" s="8" t="str">
        <f t="array" ref="E8">IFERROR(INDEX('Chart of Accounts'!$B:$B,MATCH(D8,'Chart of Accounts'!$A:$A,0)),"")</f>
        <v>Inventory - Finished Goods</v>
      </c>
      <c r="F8" s="8" t="str">
        <f t="array" ref="F8">IFERROR(INDEX('Chart of Accounts'!$D:$D,MATCH(D8,'Chart of Accounts'!$A:$A,0)),"")</f>
        <v>Manufacturing</v>
      </c>
      <c r="G8" s="7">
        <v>4800.0</v>
      </c>
      <c r="H8" s="10"/>
      <c r="I8" s="7" t="s">
        <v>158</v>
      </c>
      <c r="J8" s="7" t="s">
        <v>102</v>
      </c>
    </row>
    <row r="9">
      <c r="A9" s="8">
        <v>8.0</v>
      </c>
      <c r="B9" s="9">
        <v>46266.0</v>
      </c>
      <c r="C9" s="7" t="s">
        <v>155</v>
      </c>
      <c r="D9" s="7">
        <v>1220.0</v>
      </c>
      <c r="E9" s="8" t="str">
        <f t="array" ref="E9">IFERROR(INDEX('Chart of Accounts'!$B:$B,MATCH(D9,'Chart of Accounts'!$A:$A,0)),"")</f>
        <v>Inventory - WIP</v>
      </c>
      <c r="F9" s="8" t="str">
        <f t="array" ref="F9">IFERROR(INDEX('Chart of Accounts'!$D:$D,MATCH(D9,'Chart of Accounts'!$A:$A,0)),"")</f>
        <v>Manufacturing</v>
      </c>
      <c r="G9" s="10"/>
      <c r="H9" s="7">
        <v>3600.0</v>
      </c>
      <c r="I9" s="7" t="s">
        <v>164</v>
      </c>
      <c r="J9" s="7" t="s">
        <v>102</v>
      </c>
    </row>
    <row r="10">
      <c r="A10" s="8">
        <v>9.0</v>
      </c>
      <c r="B10" s="9">
        <v>46266.0</v>
      </c>
      <c r="C10" s="7" t="s">
        <v>155</v>
      </c>
      <c r="D10" s="7">
        <v>1240.0</v>
      </c>
      <c r="E10" s="8" t="str">
        <f t="array" ref="E10">IFERROR(INDEX('Chart of Accounts'!$B:$B,MATCH(D10,'Chart of Accounts'!$A:$A,0)),"")</f>
        <v>Inventory - Packaging Materials</v>
      </c>
      <c r="F10" s="8" t="str">
        <f t="array" ref="F10">IFERROR(INDEX('Chart of Accounts'!$D:$D,MATCH(D10,'Chart of Accounts'!$A:$A,0)),"")</f>
        <v>Packaging</v>
      </c>
      <c r="G10" s="10"/>
      <c r="H10" s="7">
        <v>400.0</v>
      </c>
      <c r="I10" s="7" t="s">
        <v>176</v>
      </c>
      <c r="J10" s="7" t="s">
        <v>102</v>
      </c>
    </row>
    <row r="11">
      <c r="A11" s="8">
        <v>10.0</v>
      </c>
      <c r="B11" s="9">
        <v>46266.0</v>
      </c>
      <c r="C11" s="7" t="s">
        <v>155</v>
      </c>
      <c r="D11" s="7">
        <v>1010.0</v>
      </c>
      <c r="E11" s="8" t="str">
        <f t="array" ref="E11">IFERROR(INDEX('Chart of Accounts'!$B:$B,MATCH(D11,'Chart of Accounts'!$A:$A,0)),"")</f>
        <v>Bank Account - Main</v>
      </c>
      <c r="F11" s="8" t="str">
        <f t="array" ref="F11">IFERROR(INDEX('Chart of Accounts'!$D:$D,MATCH(D11,'Chart of Accounts'!$A:$A,0)),"")</f>
        <v>Shared</v>
      </c>
      <c r="G11" s="10"/>
      <c r="H11" s="7">
        <v>800.0</v>
      </c>
      <c r="I11" s="7" t="s">
        <v>181</v>
      </c>
      <c r="J11" s="7" t="s">
        <v>102</v>
      </c>
    </row>
    <row r="12">
      <c r="A12" s="8">
        <v>11.0</v>
      </c>
      <c r="B12" s="9">
        <v>46266.0</v>
      </c>
      <c r="C12" s="7" t="s">
        <v>182</v>
      </c>
      <c r="D12" s="7">
        <v>1100.0</v>
      </c>
      <c r="E12" s="8" t="str">
        <f t="array" ref="E12">IFERROR(INDEX('Chart of Accounts'!$B:$B,MATCH(D12,'Chart of Accounts'!$A:$A,0)),"")</f>
        <v>Accounts Receivable - Local</v>
      </c>
      <c r="F12" s="8" t="str">
        <f t="array" ref="F12">IFERROR(INDEX('Chart of Accounts'!$D:$D,MATCH(D12,'Chart of Accounts'!$A:$A,0)),"")</f>
        <v>Shared</v>
      </c>
      <c r="G12" s="7">
        <v>4000.0</v>
      </c>
      <c r="H12" s="10"/>
      <c r="I12" s="7" t="s">
        <v>184</v>
      </c>
      <c r="J12" s="7" t="s">
        <v>185</v>
      </c>
    </row>
    <row r="13">
      <c r="A13" s="8">
        <v>12.0</v>
      </c>
      <c r="B13" s="9">
        <v>46266.0</v>
      </c>
      <c r="C13" s="7" t="s">
        <v>182</v>
      </c>
      <c r="D13" s="7">
        <v>4010.0</v>
      </c>
      <c r="E13" s="8" t="str">
        <f t="array" ref="E13">IFERROR(INDEX('Chart of Accounts'!$B:$B,MATCH(D13,'Chart of Accounts'!$A:$A,0)),"")</f>
        <v>Manufacturing Sales</v>
      </c>
      <c r="F13" s="8" t="str">
        <f t="array" ref="F13">IFERROR(INDEX('Chart of Accounts'!$D:$D,MATCH(D13,'Chart of Accounts'!$A:$A,0)),"")</f>
        <v>Manufacturing</v>
      </c>
      <c r="G13" s="10"/>
      <c r="H13" s="7">
        <v>4000.0</v>
      </c>
      <c r="I13" s="7" t="s">
        <v>184</v>
      </c>
      <c r="J13" s="7" t="s">
        <v>185</v>
      </c>
    </row>
    <row r="14">
      <c r="A14" s="8">
        <v>13.0</v>
      </c>
      <c r="B14" s="9">
        <v>46266.0</v>
      </c>
      <c r="C14" s="7" t="s">
        <v>182</v>
      </c>
      <c r="D14" s="7">
        <v>5010.0</v>
      </c>
      <c r="E14" s="8" t="str">
        <f t="array" ref="E14">IFERROR(INDEX('Chart of Accounts'!$B:$B,MATCH(D14,'Chart of Accounts'!$A:$A,0)),"")</f>
        <v>COGS - Manufacturing (Raw Material Consumed)</v>
      </c>
      <c r="F14" s="8" t="str">
        <f t="array" ref="F14">IFERROR(INDEX('Chart of Accounts'!$D:$D,MATCH(D14,'Chart of Accounts'!$A:$A,0)),"")</f>
        <v>Manufacturing</v>
      </c>
      <c r="G14" s="7">
        <v>2400.0</v>
      </c>
      <c r="H14" s="10"/>
      <c r="I14" s="7" t="s">
        <v>187</v>
      </c>
      <c r="J14" s="7" t="s">
        <v>185</v>
      </c>
    </row>
    <row r="15">
      <c r="A15" s="8">
        <v>14.0</v>
      </c>
      <c r="B15" s="9">
        <v>46266.0</v>
      </c>
      <c r="C15" s="7" t="s">
        <v>182</v>
      </c>
      <c r="D15" s="7">
        <v>1230.0</v>
      </c>
      <c r="E15" s="8" t="str">
        <f t="array" ref="E15">IFERROR(INDEX('Chart of Accounts'!$B:$B,MATCH(D15,'Chart of Accounts'!$A:$A,0)),"")</f>
        <v>Inventory - Finished Goods</v>
      </c>
      <c r="F15" s="8" t="str">
        <f t="array" ref="F15">IFERROR(INDEX('Chart of Accounts'!$D:$D,MATCH(D15,'Chart of Accounts'!$A:$A,0)),"")</f>
        <v>Manufacturing</v>
      </c>
      <c r="G15" s="10"/>
      <c r="H15" s="7">
        <v>2400.0</v>
      </c>
      <c r="I15" s="7" t="s">
        <v>192</v>
      </c>
      <c r="J15" s="7" t="s">
        <v>185</v>
      </c>
    </row>
    <row r="16">
      <c r="A16" s="8" t="str">
        <f t="shared" ref="A16:A300" si="1">IF(B16="","",ROW()-1)</f>
        <v/>
      </c>
      <c r="B16" s="19"/>
      <c r="C16" s="19"/>
      <c r="D16" s="19"/>
      <c r="E16" s="8" t="str">
        <f t="array" ref="E16">IF(D16="","",IFERROR(INDEX('Chart of Accounts'!$B:$B,MATCH(D16,'Chart of Accounts'!$A:$A,0)),""))</f>
        <v/>
      </c>
      <c r="F16" s="8" t="str">
        <f t="array" ref="F16">IF(D16="","",IFERROR(INDEX('Chart of Accounts'!$D:$D,MATCH(D16,'Chart of Accounts'!$A:$A,0)),""))</f>
        <v/>
      </c>
      <c r="G16" s="19"/>
      <c r="H16" s="19"/>
      <c r="I16" s="19"/>
      <c r="J16" s="19"/>
    </row>
    <row r="17">
      <c r="A17" s="8" t="str">
        <f t="shared" si="1"/>
        <v/>
      </c>
      <c r="B17" s="19"/>
      <c r="C17" s="19"/>
      <c r="D17" s="19"/>
      <c r="E17" s="8" t="str">
        <f t="array" ref="E17">IF(D17="","",IFERROR(INDEX('Chart of Accounts'!$B:$B,MATCH(D17,'Chart of Accounts'!$A:$A,0)),""))</f>
        <v/>
      </c>
      <c r="F17" s="8" t="str">
        <f t="array" ref="F17">IF(D17="","",IFERROR(INDEX('Chart of Accounts'!$D:$D,MATCH(D17,'Chart of Accounts'!$A:$A,0)),""))</f>
        <v/>
      </c>
      <c r="G17" s="19"/>
      <c r="H17" s="19"/>
      <c r="I17" s="19"/>
      <c r="J17" s="19"/>
    </row>
    <row r="18">
      <c r="A18" s="8" t="str">
        <f t="shared" si="1"/>
        <v/>
      </c>
      <c r="B18" s="19"/>
      <c r="C18" s="19"/>
      <c r="D18" s="19"/>
      <c r="E18" s="8" t="str">
        <f t="array" ref="E18">IF(D18="","",IFERROR(INDEX('Chart of Accounts'!$B:$B,MATCH(D18,'Chart of Accounts'!$A:$A,0)),""))</f>
        <v/>
      </c>
      <c r="F18" s="8" t="str">
        <f t="array" ref="F18">IF(D18="","",IFERROR(INDEX('Chart of Accounts'!$D:$D,MATCH(D18,'Chart of Accounts'!$A:$A,0)),""))</f>
        <v/>
      </c>
      <c r="G18" s="19"/>
      <c r="H18" s="19"/>
      <c r="I18" s="19"/>
      <c r="J18" s="19"/>
    </row>
    <row r="19">
      <c r="A19" s="8" t="str">
        <f t="shared" si="1"/>
        <v/>
      </c>
      <c r="B19" s="19"/>
      <c r="C19" s="19"/>
      <c r="D19" s="19"/>
      <c r="E19" s="8" t="str">
        <f t="array" ref="E19">IF(D19="","",IFERROR(INDEX('Chart of Accounts'!$B:$B,MATCH(D19,'Chart of Accounts'!$A:$A,0)),""))</f>
        <v/>
      </c>
      <c r="F19" s="8" t="str">
        <f t="array" ref="F19">IF(D19="","",IFERROR(INDEX('Chart of Accounts'!$D:$D,MATCH(D19,'Chart of Accounts'!$A:$A,0)),""))</f>
        <v/>
      </c>
      <c r="G19" s="19"/>
      <c r="H19" s="19"/>
      <c r="I19" s="19"/>
      <c r="J19" s="19"/>
    </row>
    <row r="20">
      <c r="A20" s="8" t="str">
        <f t="shared" si="1"/>
        <v/>
      </c>
      <c r="B20" s="19"/>
      <c r="C20" s="19"/>
      <c r="D20" s="19"/>
      <c r="E20" s="8" t="str">
        <f t="array" ref="E20">IF(D20="","",IFERROR(INDEX('Chart of Accounts'!$B:$B,MATCH(D20,'Chart of Accounts'!$A:$A,0)),""))</f>
        <v/>
      </c>
      <c r="F20" s="8" t="str">
        <f t="array" ref="F20">IF(D20="","",IFERROR(INDEX('Chart of Accounts'!$D:$D,MATCH(D20,'Chart of Accounts'!$A:$A,0)),""))</f>
        <v/>
      </c>
      <c r="G20" s="19"/>
      <c r="H20" s="19"/>
      <c r="I20" s="19"/>
      <c r="J20" s="19"/>
    </row>
    <row r="21" ht="15.75" customHeight="1">
      <c r="A21" s="8" t="str">
        <f t="shared" si="1"/>
        <v/>
      </c>
      <c r="B21" s="19"/>
      <c r="C21" s="19"/>
      <c r="D21" s="19"/>
      <c r="E21" s="8" t="str">
        <f t="array" ref="E21">IF(D21="","",IFERROR(INDEX('Chart of Accounts'!$B:$B,MATCH(D21,'Chart of Accounts'!$A:$A,0)),""))</f>
        <v/>
      </c>
      <c r="F21" s="8" t="str">
        <f t="array" ref="F21">IF(D21="","",IFERROR(INDEX('Chart of Accounts'!$D:$D,MATCH(D21,'Chart of Accounts'!$A:$A,0)),""))</f>
        <v/>
      </c>
      <c r="G21" s="19"/>
      <c r="H21" s="19"/>
      <c r="I21" s="19"/>
      <c r="J21" s="19"/>
    </row>
    <row r="22" ht="15.75" customHeight="1">
      <c r="A22" s="8" t="str">
        <f t="shared" si="1"/>
        <v/>
      </c>
      <c r="B22" s="19"/>
      <c r="C22" s="19"/>
      <c r="D22" s="19"/>
      <c r="E22" s="8" t="str">
        <f t="array" ref="E22">IF(D22="","",IFERROR(INDEX('Chart of Accounts'!$B:$B,MATCH(D22,'Chart of Accounts'!$A:$A,0)),""))</f>
        <v/>
      </c>
      <c r="F22" s="8" t="str">
        <f t="array" ref="F22">IF(D22="","",IFERROR(INDEX('Chart of Accounts'!$D:$D,MATCH(D22,'Chart of Accounts'!$A:$A,0)),""))</f>
        <v/>
      </c>
      <c r="G22" s="19"/>
      <c r="H22" s="19"/>
      <c r="I22" s="19"/>
      <c r="J22" s="19"/>
    </row>
    <row r="23" ht="15.75" customHeight="1">
      <c r="A23" s="8" t="str">
        <f t="shared" si="1"/>
        <v/>
      </c>
      <c r="B23" s="19"/>
      <c r="C23" s="19"/>
      <c r="D23" s="19"/>
      <c r="E23" s="8" t="str">
        <f t="array" ref="E23">IF(D23="","",IFERROR(INDEX('Chart of Accounts'!$B:$B,MATCH(D23,'Chart of Accounts'!$A:$A,0)),""))</f>
        <v/>
      </c>
      <c r="F23" s="8" t="str">
        <f t="array" ref="F23">IF(D23="","",IFERROR(INDEX('Chart of Accounts'!$D:$D,MATCH(D23,'Chart of Accounts'!$A:$A,0)),""))</f>
        <v/>
      </c>
      <c r="G23" s="19"/>
      <c r="H23" s="19"/>
      <c r="I23" s="19"/>
      <c r="J23" s="19"/>
    </row>
    <row r="24" ht="15.75" customHeight="1">
      <c r="A24" s="8" t="str">
        <f t="shared" si="1"/>
        <v/>
      </c>
      <c r="B24" s="19"/>
      <c r="C24" s="19"/>
      <c r="D24" s="19"/>
      <c r="E24" s="8" t="str">
        <f t="array" ref="E24">IF(D24="","",IFERROR(INDEX('Chart of Accounts'!$B:$B,MATCH(D24,'Chart of Accounts'!$A:$A,0)),""))</f>
        <v/>
      </c>
      <c r="F24" s="8" t="str">
        <f t="array" ref="F24">IF(D24="","",IFERROR(INDEX('Chart of Accounts'!$D:$D,MATCH(D24,'Chart of Accounts'!$A:$A,0)),""))</f>
        <v/>
      </c>
      <c r="G24" s="19"/>
      <c r="H24" s="19"/>
      <c r="I24" s="19"/>
      <c r="J24" s="19"/>
    </row>
    <row r="25" ht="15.75" customHeight="1">
      <c r="A25" s="8" t="str">
        <f t="shared" si="1"/>
        <v/>
      </c>
      <c r="B25" s="19"/>
      <c r="C25" s="19"/>
      <c r="D25" s="19"/>
      <c r="E25" s="8" t="str">
        <f t="array" ref="E25">IF(D25="","",IFERROR(INDEX('Chart of Accounts'!$B:$B,MATCH(D25,'Chart of Accounts'!$A:$A,0)),""))</f>
        <v/>
      </c>
      <c r="F25" s="8" t="str">
        <f t="array" ref="F25">IF(D25="","",IFERROR(INDEX('Chart of Accounts'!$D:$D,MATCH(D25,'Chart of Accounts'!$A:$A,0)),""))</f>
        <v/>
      </c>
      <c r="G25" s="19"/>
      <c r="H25" s="19"/>
      <c r="I25" s="19"/>
      <c r="J25" s="19"/>
    </row>
    <row r="26" ht="15.75" customHeight="1">
      <c r="A26" s="8" t="str">
        <f t="shared" si="1"/>
        <v/>
      </c>
      <c r="B26" s="19"/>
      <c r="C26" s="19"/>
      <c r="D26" s="19"/>
      <c r="E26" s="8" t="str">
        <f t="array" ref="E26">IF(D26="","",IFERROR(INDEX('Chart of Accounts'!$B:$B,MATCH(D26,'Chart of Accounts'!$A:$A,0)),""))</f>
        <v/>
      </c>
      <c r="F26" s="8" t="str">
        <f t="array" ref="F26">IF(D26="","",IFERROR(INDEX('Chart of Accounts'!$D:$D,MATCH(D26,'Chart of Accounts'!$A:$A,0)),""))</f>
        <v/>
      </c>
      <c r="G26" s="19"/>
      <c r="H26" s="19"/>
      <c r="I26" s="19"/>
      <c r="J26" s="19"/>
    </row>
    <row r="27" ht="15.75" customHeight="1">
      <c r="A27" s="8" t="str">
        <f t="shared" si="1"/>
        <v/>
      </c>
      <c r="B27" s="19"/>
      <c r="C27" s="19"/>
      <c r="D27" s="19"/>
      <c r="E27" s="8" t="str">
        <f t="array" ref="E27">IF(D27="","",IFERROR(INDEX('Chart of Accounts'!$B:$B,MATCH(D27,'Chart of Accounts'!$A:$A,0)),""))</f>
        <v/>
      </c>
      <c r="F27" s="8" t="str">
        <f t="array" ref="F27">IF(D27="","",IFERROR(INDEX('Chart of Accounts'!$D:$D,MATCH(D27,'Chart of Accounts'!$A:$A,0)),""))</f>
        <v/>
      </c>
      <c r="G27" s="19"/>
      <c r="H27" s="19"/>
      <c r="I27" s="19"/>
      <c r="J27" s="19"/>
    </row>
    <row r="28" ht="15.75" customHeight="1">
      <c r="A28" s="8" t="str">
        <f t="shared" si="1"/>
        <v/>
      </c>
      <c r="B28" s="19"/>
      <c r="C28" s="19"/>
      <c r="D28" s="19"/>
      <c r="E28" s="8" t="str">
        <f t="array" ref="E28">IF(D28="","",IFERROR(INDEX('Chart of Accounts'!$B:$B,MATCH(D28,'Chart of Accounts'!$A:$A,0)),""))</f>
        <v/>
      </c>
      <c r="F28" s="8" t="str">
        <f t="array" ref="F28">IF(D28="","",IFERROR(INDEX('Chart of Accounts'!$D:$D,MATCH(D28,'Chart of Accounts'!$A:$A,0)),""))</f>
        <v/>
      </c>
      <c r="G28" s="19"/>
      <c r="H28" s="19"/>
      <c r="I28" s="19"/>
      <c r="J28" s="19"/>
    </row>
    <row r="29" ht="15.75" customHeight="1">
      <c r="A29" s="8" t="str">
        <f t="shared" si="1"/>
        <v/>
      </c>
      <c r="B29" s="19"/>
      <c r="C29" s="19"/>
      <c r="D29" s="19"/>
      <c r="E29" s="8" t="str">
        <f t="array" ref="E29">IF(D29="","",IFERROR(INDEX('Chart of Accounts'!$B:$B,MATCH(D29,'Chart of Accounts'!$A:$A,0)),""))</f>
        <v/>
      </c>
      <c r="F29" s="8" t="str">
        <f t="array" ref="F29">IF(D29="","",IFERROR(INDEX('Chart of Accounts'!$D:$D,MATCH(D29,'Chart of Accounts'!$A:$A,0)),""))</f>
        <v/>
      </c>
      <c r="G29" s="19"/>
      <c r="H29" s="19"/>
      <c r="I29" s="19"/>
      <c r="J29" s="19"/>
    </row>
    <row r="30" ht="15.75" customHeight="1">
      <c r="A30" s="8" t="str">
        <f t="shared" si="1"/>
        <v/>
      </c>
      <c r="B30" s="19"/>
      <c r="C30" s="19"/>
      <c r="D30" s="19"/>
      <c r="E30" s="8" t="str">
        <f t="array" ref="E30">IF(D30="","",IFERROR(INDEX('Chart of Accounts'!$B:$B,MATCH(D30,'Chart of Accounts'!$A:$A,0)),""))</f>
        <v/>
      </c>
      <c r="F30" s="8" t="str">
        <f t="array" ref="F30">IF(D30="","",IFERROR(INDEX('Chart of Accounts'!$D:$D,MATCH(D30,'Chart of Accounts'!$A:$A,0)),""))</f>
        <v/>
      </c>
      <c r="G30" s="19"/>
      <c r="H30" s="19"/>
      <c r="I30" s="19"/>
      <c r="J30" s="19"/>
    </row>
    <row r="31" ht="15.75" customHeight="1">
      <c r="A31" s="8" t="str">
        <f t="shared" si="1"/>
        <v/>
      </c>
      <c r="B31" s="19"/>
      <c r="C31" s="19"/>
      <c r="D31" s="19"/>
      <c r="E31" s="8" t="str">
        <f t="array" ref="E31">IF(D31="","",IFERROR(INDEX('Chart of Accounts'!$B:$B,MATCH(D31,'Chart of Accounts'!$A:$A,0)),""))</f>
        <v/>
      </c>
      <c r="F31" s="8" t="str">
        <f t="array" ref="F31">IF(D31="","",IFERROR(INDEX('Chart of Accounts'!$D:$D,MATCH(D31,'Chart of Accounts'!$A:$A,0)),""))</f>
        <v/>
      </c>
      <c r="G31" s="19"/>
      <c r="H31" s="19"/>
      <c r="I31" s="19"/>
      <c r="J31" s="19"/>
    </row>
    <row r="32" ht="15.75" customHeight="1">
      <c r="A32" s="8" t="str">
        <f t="shared" si="1"/>
        <v/>
      </c>
      <c r="B32" s="19"/>
      <c r="C32" s="19"/>
      <c r="D32" s="19"/>
      <c r="E32" s="8" t="str">
        <f t="array" ref="E32">IF(D32="","",IFERROR(INDEX('Chart of Accounts'!$B:$B,MATCH(D32,'Chart of Accounts'!$A:$A,0)),""))</f>
        <v/>
      </c>
      <c r="F32" s="8" t="str">
        <f t="array" ref="F32">IF(D32="","",IFERROR(INDEX('Chart of Accounts'!$D:$D,MATCH(D32,'Chart of Accounts'!$A:$A,0)),""))</f>
        <v/>
      </c>
      <c r="G32" s="19"/>
      <c r="H32" s="19"/>
      <c r="I32" s="19"/>
      <c r="J32" s="19"/>
    </row>
    <row r="33" ht="15.75" customHeight="1">
      <c r="A33" s="8" t="str">
        <f t="shared" si="1"/>
        <v/>
      </c>
      <c r="B33" s="19"/>
      <c r="C33" s="19"/>
      <c r="D33" s="19"/>
      <c r="E33" s="8" t="str">
        <f t="array" ref="E33">IF(D33="","",IFERROR(INDEX('Chart of Accounts'!$B:$B,MATCH(D33,'Chart of Accounts'!$A:$A,0)),""))</f>
        <v/>
      </c>
      <c r="F33" s="8" t="str">
        <f t="array" ref="F33">IF(D33="","",IFERROR(INDEX('Chart of Accounts'!$D:$D,MATCH(D33,'Chart of Accounts'!$A:$A,0)),""))</f>
        <v/>
      </c>
      <c r="G33" s="19"/>
      <c r="H33" s="19"/>
      <c r="I33" s="19"/>
      <c r="J33" s="19"/>
    </row>
    <row r="34" ht="15.75" customHeight="1">
      <c r="A34" s="8" t="str">
        <f t="shared" si="1"/>
        <v/>
      </c>
      <c r="B34" s="19"/>
      <c r="C34" s="19"/>
      <c r="D34" s="19"/>
      <c r="E34" s="8" t="str">
        <f t="array" ref="E34">IF(D34="","",IFERROR(INDEX('Chart of Accounts'!$B:$B,MATCH(D34,'Chart of Accounts'!$A:$A,0)),""))</f>
        <v/>
      </c>
      <c r="F34" s="8" t="str">
        <f t="array" ref="F34">IF(D34="","",IFERROR(INDEX('Chart of Accounts'!$D:$D,MATCH(D34,'Chart of Accounts'!$A:$A,0)),""))</f>
        <v/>
      </c>
      <c r="G34" s="19"/>
      <c r="H34" s="19"/>
      <c r="I34" s="19"/>
      <c r="J34" s="19"/>
    </row>
    <row r="35" ht="15.75" customHeight="1">
      <c r="A35" s="8" t="str">
        <f t="shared" si="1"/>
        <v/>
      </c>
      <c r="B35" s="19"/>
      <c r="C35" s="19"/>
      <c r="D35" s="19"/>
      <c r="E35" s="8" t="str">
        <f t="array" ref="E35">IF(D35="","",IFERROR(INDEX('Chart of Accounts'!$B:$B,MATCH(D35,'Chart of Accounts'!$A:$A,0)),""))</f>
        <v/>
      </c>
      <c r="F35" s="8" t="str">
        <f t="array" ref="F35">IF(D35="","",IFERROR(INDEX('Chart of Accounts'!$D:$D,MATCH(D35,'Chart of Accounts'!$A:$A,0)),""))</f>
        <v/>
      </c>
      <c r="G35" s="19"/>
      <c r="H35" s="19"/>
      <c r="I35" s="19"/>
      <c r="J35" s="19"/>
    </row>
    <row r="36" ht="15.75" customHeight="1">
      <c r="A36" s="8" t="str">
        <f t="shared" si="1"/>
        <v/>
      </c>
      <c r="B36" s="19"/>
      <c r="C36" s="19"/>
      <c r="D36" s="19"/>
      <c r="E36" s="8" t="str">
        <f t="array" ref="E36">IF(D36="","",IFERROR(INDEX('Chart of Accounts'!$B:$B,MATCH(D36,'Chart of Accounts'!$A:$A,0)),""))</f>
        <v/>
      </c>
      <c r="F36" s="8" t="str">
        <f t="array" ref="F36">IF(D36="","",IFERROR(INDEX('Chart of Accounts'!$D:$D,MATCH(D36,'Chart of Accounts'!$A:$A,0)),""))</f>
        <v/>
      </c>
      <c r="G36" s="19"/>
      <c r="H36" s="19"/>
      <c r="I36" s="19"/>
      <c r="J36" s="19"/>
    </row>
    <row r="37" ht="15.75" customHeight="1">
      <c r="A37" s="8" t="str">
        <f t="shared" si="1"/>
        <v/>
      </c>
      <c r="B37" s="19"/>
      <c r="C37" s="19"/>
      <c r="D37" s="19"/>
      <c r="E37" s="8" t="str">
        <f t="array" ref="E37">IF(D37="","",IFERROR(INDEX('Chart of Accounts'!$B:$B,MATCH(D37,'Chart of Accounts'!$A:$A,0)),""))</f>
        <v/>
      </c>
      <c r="F37" s="8" t="str">
        <f t="array" ref="F37">IF(D37="","",IFERROR(INDEX('Chart of Accounts'!$D:$D,MATCH(D37,'Chart of Accounts'!$A:$A,0)),""))</f>
        <v/>
      </c>
      <c r="G37" s="19"/>
      <c r="H37" s="19"/>
      <c r="I37" s="19"/>
      <c r="J37" s="19"/>
    </row>
    <row r="38" ht="15.75" customHeight="1">
      <c r="A38" s="8" t="str">
        <f t="shared" si="1"/>
        <v/>
      </c>
      <c r="B38" s="19"/>
      <c r="C38" s="19"/>
      <c r="D38" s="19"/>
      <c r="E38" s="8" t="str">
        <f t="array" ref="E38">IF(D38="","",IFERROR(INDEX('Chart of Accounts'!$B:$B,MATCH(D38,'Chart of Accounts'!$A:$A,0)),""))</f>
        <v/>
      </c>
      <c r="F38" s="8" t="str">
        <f t="array" ref="F38">IF(D38="","",IFERROR(INDEX('Chart of Accounts'!$D:$D,MATCH(D38,'Chart of Accounts'!$A:$A,0)),""))</f>
        <v/>
      </c>
      <c r="G38" s="19"/>
      <c r="H38" s="19"/>
      <c r="I38" s="19"/>
      <c r="J38" s="19"/>
    </row>
    <row r="39" ht="15.75" customHeight="1">
      <c r="A39" s="8" t="str">
        <f t="shared" si="1"/>
        <v/>
      </c>
      <c r="B39" s="19"/>
      <c r="C39" s="19"/>
      <c r="D39" s="19"/>
      <c r="E39" s="8" t="str">
        <f t="array" ref="E39">IF(D39="","",IFERROR(INDEX('Chart of Accounts'!$B:$B,MATCH(D39,'Chart of Accounts'!$A:$A,0)),""))</f>
        <v/>
      </c>
      <c r="F39" s="8" t="str">
        <f t="array" ref="F39">IF(D39="","",IFERROR(INDEX('Chart of Accounts'!$D:$D,MATCH(D39,'Chart of Accounts'!$A:$A,0)),""))</f>
        <v/>
      </c>
      <c r="G39" s="19"/>
      <c r="H39" s="19"/>
      <c r="I39" s="19"/>
      <c r="J39" s="19"/>
    </row>
    <row r="40" ht="15.75" customHeight="1">
      <c r="A40" s="8" t="str">
        <f t="shared" si="1"/>
        <v/>
      </c>
      <c r="B40" s="19"/>
      <c r="C40" s="19"/>
      <c r="D40" s="19"/>
      <c r="E40" s="8" t="str">
        <f t="array" ref="E40">IF(D40="","",IFERROR(INDEX('Chart of Accounts'!$B:$B,MATCH(D40,'Chart of Accounts'!$A:$A,0)),""))</f>
        <v/>
      </c>
      <c r="F40" s="8" t="str">
        <f t="array" ref="F40">IF(D40="","",IFERROR(INDEX('Chart of Accounts'!$D:$D,MATCH(D40,'Chart of Accounts'!$A:$A,0)),""))</f>
        <v/>
      </c>
      <c r="G40" s="19"/>
      <c r="H40" s="19"/>
      <c r="I40" s="19"/>
      <c r="J40" s="19"/>
    </row>
    <row r="41" ht="15.75" customHeight="1">
      <c r="A41" s="8" t="str">
        <f t="shared" si="1"/>
        <v/>
      </c>
      <c r="B41" s="19"/>
      <c r="C41" s="19"/>
      <c r="D41" s="19"/>
      <c r="E41" s="8" t="str">
        <f t="array" ref="E41">IF(D41="","",IFERROR(INDEX('Chart of Accounts'!$B:$B,MATCH(D41,'Chart of Accounts'!$A:$A,0)),""))</f>
        <v/>
      </c>
      <c r="F41" s="8" t="str">
        <f t="array" ref="F41">IF(D41="","",IFERROR(INDEX('Chart of Accounts'!$D:$D,MATCH(D41,'Chart of Accounts'!$A:$A,0)),""))</f>
        <v/>
      </c>
      <c r="G41" s="19"/>
      <c r="H41" s="19"/>
      <c r="I41" s="19"/>
      <c r="J41" s="19"/>
    </row>
    <row r="42" ht="15.75" customHeight="1">
      <c r="A42" s="8" t="str">
        <f t="shared" si="1"/>
        <v/>
      </c>
      <c r="B42" s="19"/>
      <c r="C42" s="19"/>
      <c r="D42" s="19"/>
      <c r="E42" s="8" t="str">
        <f t="array" ref="E42">IF(D42="","",IFERROR(INDEX('Chart of Accounts'!$B:$B,MATCH(D42,'Chart of Accounts'!$A:$A,0)),""))</f>
        <v/>
      </c>
      <c r="F42" s="8" t="str">
        <f t="array" ref="F42">IF(D42="","",IFERROR(INDEX('Chart of Accounts'!$D:$D,MATCH(D42,'Chart of Accounts'!$A:$A,0)),""))</f>
        <v/>
      </c>
      <c r="G42" s="19"/>
      <c r="H42" s="19"/>
      <c r="I42" s="19"/>
      <c r="J42" s="19"/>
    </row>
    <row r="43" ht="15.75" customHeight="1">
      <c r="A43" s="8" t="str">
        <f t="shared" si="1"/>
        <v/>
      </c>
      <c r="B43" s="19"/>
      <c r="C43" s="19"/>
      <c r="D43" s="19"/>
      <c r="E43" s="8" t="str">
        <f t="array" ref="E43">IF(D43="","",IFERROR(INDEX('Chart of Accounts'!$B:$B,MATCH(D43,'Chart of Accounts'!$A:$A,0)),""))</f>
        <v/>
      </c>
      <c r="F43" s="8" t="str">
        <f t="array" ref="F43">IF(D43="","",IFERROR(INDEX('Chart of Accounts'!$D:$D,MATCH(D43,'Chart of Accounts'!$A:$A,0)),""))</f>
        <v/>
      </c>
      <c r="G43" s="19"/>
      <c r="H43" s="19"/>
      <c r="I43" s="19"/>
      <c r="J43" s="19"/>
    </row>
    <row r="44" ht="15.75" customHeight="1">
      <c r="A44" s="8" t="str">
        <f t="shared" si="1"/>
        <v/>
      </c>
      <c r="B44" s="19"/>
      <c r="C44" s="19"/>
      <c r="D44" s="19"/>
      <c r="E44" s="8" t="str">
        <f t="array" ref="E44">IF(D44="","",IFERROR(INDEX('Chart of Accounts'!$B:$B,MATCH(D44,'Chart of Accounts'!$A:$A,0)),""))</f>
        <v/>
      </c>
      <c r="F44" s="8" t="str">
        <f t="array" ref="F44">IF(D44="","",IFERROR(INDEX('Chart of Accounts'!$D:$D,MATCH(D44,'Chart of Accounts'!$A:$A,0)),""))</f>
        <v/>
      </c>
      <c r="G44" s="19"/>
      <c r="H44" s="19"/>
      <c r="I44" s="19"/>
      <c r="J44" s="19"/>
    </row>
    <row r="45" ht="15.75" customHeight="1">
      <c r="A45" s="8" t="str">
        <f t="shared" si="1"/>
        <v/>
      </c>
      <c r="B45" s="19"/>
      <c r="C45" s="19"/>
      <c r="D45" s="19"/>
      <c r="E45" s="8" t="str">
        <f t="array" ref="E45">IF(D45="","",IFERROR(INDEX('Chart of Accounts'!$B:$B,MATCH(D45,'Chart of Accounts'!$A:$A,0)),""))</f>
        <v/>
      </c>
      <c r="F45" s="8" t="str">
        <f t="array" ref="F45">IF(D45="","",IFERROR(INDEX('Chart of Accounts'!$D:$D,MATCH(D45,'Chart of Accounts'!$A:$A,0)),""))</f>
        <v/>
      </c>
      <c r="G45" s="19"/>
      <c r="H45" s="19"/>
      <c r="I45" s="19"/>
      <c r="J45" s="19"/>
    </row>
    <row r="46" ht="15.75" customHeight="1">
      <c r="A46" s="8" t="str">
        <f t="shared" si="1"/>
        <v/>
      </c>
      <c r="B46" s="19"/>
      <c r="C46" s="19"/>
      <c r="D46" s="19"/>
      <c r="E46" s="8" t="str">
        <f t="array" ref="E46">IF(D46="","",IFERROR(INDEX('Chart of Accounts'!$B:$B,MATCH(D46,'Chart of Accounts'!$A:$A,0)),""))</f>
        <v/>
      </c>
      <c r="F46" s="8" t="str">
        <f t="array" ref="F46">IF(D46="","",IFERROR(INDEX('Chart of Accounts'!$D:$D,MATCH(D46,'Chart of Accounts'!$A:$A,0)),""))</f>
        <v/>
      </c>
      <c r="G46" s="19"/>
      <c r="H46" s="19"/>
      <c r="I46" s="19"/>
      <c r="J46" s="19"/>
    </row>
    <row r="47" ht="15.75" customHeight="1">
      <c r="A47" s="8" t="str">
        <f t="shared" si="1"/>
        <v/>
      </c>
      <c r="B47" s="19"/>
      <c r="C47" s="19"/>
      <c r="D47" s="19"/>
      <c r="E47" s="8" t="str">
        <f t="array" ref="E47">IF(D47="","",IFERROR(INDEX('Chart of Accounts'!$B:$B,MATCH(D47,'Chart of Accounts'!$A:$A,0)),""))</f>
        <v/>
      </c>
      <c r="F47" s="8" t="str">
        <f t="array" ref="F47">IF(D47="","",IFERROR(INDEX('Chart of Accounts'!$D:$D,MATCH(D47,'Chart of Accounts'!$A:$A,0)),""))</f>
        <v/>
      </c>
      <c r="G47" s="19"/>
      <c r="H47" s="19"/>
      <c r="I47" s="19"/>
      <c r="J47" s="19"/>
    </row>
    <row r="48" ht="15.75" customHeight="1">
      <c r="A48" s="8" t="str">
        <f t="shared" si="1"/>
        <v/>
      </c>
      <c r="B48" s="19"/>
      <c r="C48" s="19"/>
      <c r="D48" s="19"/>
      <c r="E48" s="8" t="str">
        <f t="array" ref="E48">IF(D48="","",IFERROR(INDEX('Chart of Accounts'!$B:$B,MATCH(D48,'Chart of Accounts'!$A:$A,0)),""))</f>
        <v/>
      </c>
      <c r="F48" s="8" t="str">
        <f t="array" ref="F48">IF(D48="","",IFERROR(INDEX('Chart of Accounts'!$D:$D,MATCH(D48,'Chart of Accounts'!$A:$A,0)),""))</f>
        <v/>
      </c>
      <c r="G48" s="19"/>
      <c r="H48" s="19"/>
      <c r="I48" s="19"/>
      <c r="J48" s="19"/>
    </row>
    <row r="49" ht="15.75" customHeight="1">
      <c r="A49" s="8" t="str">
        <f t="shared" si="1"/>
        <v/>
      </c>
      <c r="B49" s="19"/>
      <c r="C49" s="19"/>
      <c r="D49" s="19"/>
      <c r="E49" s="8" t="str">
        <f t="array" ref="E49">IF(D49="","",IFERROR(INDEX('Chart of Accounts'!$B:$B,MATCH(D49,'Chart of Accounts'!$A:$A,0)),""))</f>
        <v/>
      </c>
      <c r="F49" s="8" t="str">
        <f t="array" ref="F49">IF(D49="","",IFERROR(INDEX('Chart of Accounts'!$D:$D,MATCH(D49,'Chart of Accounts'!$A:$A,0)),""))</f>
        <v/>
      </c>
      <c r="G49" s="19"/>
      <c r="H49" s="19"/>
      <c r="I49" s="19"/>
      <c r="J49" s="19"/>
    </row>
    <row r="50" ht="15.75" customHeight="1">
      <c r="A50" s="8" t="str">
        <f t="shared" si="1"/>
        <v/>
      </c>
      <c r="B50" s="19"/>
      <c r="C50" s="19"/>
      <c r="D50" s="19"/>
      <c r="E50" s="8" t="str">
        <f t="array" ref="E50">IF(D50="","",IFERROR(INDEX('Chart of Accounts'!$B:$B,MATCH(D50,'Chart of Accounts'!$A:$A,0)),""))</f>
        <v/>
      </c>
      <c r="F50" s="8" t="str">
        <f t="array" ref="F50">IF(D50="","",IFERROR(INDEX('Chart of Accounts'!$D:$D,MATCH(D50,'Chart of Accounts'!$A:$A,0)),""))</f>
        <v/>
      </c>
      <c r="G50" s="19"/>
      <c r="H50" s="19"/>
      <c r="I50" s="19"/>
      <c r="J50" s="19"/>
    </row>
    <row r="51" ht="15.75" customHeight="1">
      <c r="A51" s="8" t="str">
        <f t="shared" si="1"/>
        <v/>
      </c>
      <c r="B51" s="19"/>
      <c r="C51" s="19"/>
      <c r="D51" s="19"/>
      <c r="E51" s="8" t="str">
        <f t="array" ref="E51">IF(D51="","",IFERROR(INDEX('Chart of Accounts'!$B:$B,MATCH(D51,'Chart of Accounts'!$A:$A,0)),""))</f>
        <v/>
      </c>
      <c r="F51" s="8" t="str">
        <f t="array" ref="F51">IF(D51="","",IFERROR(INDEX('Chart of Accounts'!$D:$D,MATCH(D51,'Chart of Accounts'!$A:$A,0)),""))</f>
        <v/>
      </c>
      <c r="G51" s="19"/>
      <c r="H51" s="19"/>
      <c r="I51" s="19"/>
      <c r="J51" s="19"/>
    </row>
    <row r="52" ht="15.75" customHeight="1">
      <c r="A52" s="8" t="str">
        <f t="shared" si="1"/>
        <v/>
      </c>
      <c r="B52" s="19"/>
      <c r="C52" s="19"/>
      <c r="D52" s="19"/>
      <c r="E52" s="8" t="str">
        <f t="array" ref="E52">IF(D52="","",IFERROR(INDEX('Chart of Accounts'!$B:$B,MATCH(D52,'Chart of Accounts'!$A:$A,0)),""))</f>
        <v/>
      </c>
      <c r="F52" s="8" t="str">
        <f t="array" ref="F52">IF(D52="","",IFERROR(INDEX('Chart of Accounts'!$D:$D,MATCH(D52,'Chart of Accounts'!$A:$A,0)),""))</f>
        <v/>
      </c>
      <c r="G52" s="19"/>
      <c r="H52" s="19"/>
      <c r="I52" s="19"/>
      <c r="J52" s="19"/>
    </row>
    <row r="53" ht="15.75" customHeight="1">
      <c r="A53" s="8" t="str">
        <f t="shared" si="1"/>
        <v/>
      </c>
      <c r="B53" s="19"/>
      <c r="C53" s="19"/>
      <c r="D53" s="19"/>
      <c r="E53" s="8" t="str">
        <f t="array" ref="E53">IF(D53="","",IFERROR(INDEX('Chart of Accounts'!$B:$B,MATCH(D53,'Chart of Accounts'!$A:$A,0)),""))</f>
        <v/>
      </c>
      <c r="F53" s="8" t="str">
        <f t="array" ref="F53">IF(D53="","",IFERROR(INDEX('Chart of Accounts'!$D:$D,MATCH(D53,'Chart of Accounts'!$A:$A,0)),""))</f>
        <v/>
      </c>
      <c r="G53" s="19"/>
      <c r="H53" s="19"/>
      <c r="I53" s="19"/>
      <c r="J53" s="19"/>
    </row>
    <row r="54" ht="15.75" customHeight="1">
      <c r="A54" s="8" t="str">
        <f t="shared" si="1"/>
        <v/>
      </c>
      <c r="B54" s="19"/>
      <c r="C54" s="19"/>
      <c r="D54" s="19"/>
      <c r="E54" s="8" t="str">
        <f t="array" ref="E54">IF(D54="","",IFERROR(INDEX('Chart of Accounts'!$B:$B,MATCH(D54,'Chart of Accounts'!$A:$A,0)),""))</f>
        <v/>
      </c>
      <c r="F54" s="8" t="str">
        <f t="array" ref="F54">IF(D54="","",IFERROR(INDEX('Chart of Accounts'!$D:$D,MATCH(D54,'Chart of Accounts'!$A:$A,0)),""))</f>
        <v/>
      </c>
      <c r="G54" s="19"/>
      <c r="H54" s="19"/>
      <c r="I54" s="19"/>
      <c r="J54" s="19"/>
    </row>
    <row r="55" ht="15.75" customHeight="1">
      <c r="A55" s="8" t="str">
        <f t="shared" si="1"/>
        <v/>
      </c>
      <c r="B55" s="19"/>
      <c r="C55" s="19"/>
      <c r="D55" s="19"/>
      <c r="E55" s="8" t="str">
        <f t="array" ref="E55">IF(D55="","",IFERROR(INDEX('Chart of Accounts'!$B:$B,MATCH(D55,'Chart of Accounts'!$A:$A,0)),""))</f>
        <v/>
      </c>
      <c r="F55" s="8" t="str">
        <f t="array" ref="F55">IF(D55="","",IFERROR(INDEX('Chart of Accounts'!$D:$D,MATCH(D55,'Chart of Accounts'!$A:$A,0)),""))</f>
        <v/>
      </c>
      <c r="G55" s="19"/>
      <c r="H55" s="19"/>
      <c r="I55" s="19"/>
      <c r="J55" s="19"/>
    </row>
    <row r="56" ht="15.75" customHeight="1">
      <c r="A56" s="8" t="str">
        <f t="shared" si="1"/>
        <v/>
      </c>
      <c r="B56" s="19"/>
      <c r="C56" s="19"/>
      <c r="D56" s="19"/>
      <c r="E56" s="8" t="str">
        <f t="array" ref="E56">IF(D56="","",IFERROR(INDEX('Chart of Accounts'!$B:$B,MATCH(D56,'Chart of Accounts'!$A:$A,0)),""))</f>
        <v/>
      </c>
      <c r="F56" s="8" t="str">
        <f t="array" ref="F56">IF(D56="","",IFERROR(INDEX('Chart of Accounts'!$D:$D,MATCH(D56,'Chart of Accounts'!$A:$A,0)),""))</f>
        <v/>
      </c>
      <c r="G56" s="19"/>
      <c r="H56" s="19"/>
      <c r="I56" s="19"/>
      <c r="J56" s="19"/>
    </row>
    <row r="57" ht="15.75" customHeight="1">
      <c r="A57" s="8" t="str">
        <f t="shared" si="1"/>
        <v/>
      </c>
      <c r="B57" s="19"/>
      <c r="C57" s="19"/>
      <c r="D57" s="19"/>
      <c r="E57" s="8" t="str">
        <f t="array" ref="E57">IF(D57="","",IFERROR(INDEX('Chart of Accounts'!$B:$B,MATCH(D57,'Chart of Accounts'!$A:$A,0)),""))</f>
        <v/>
      </c>
      <c r="F57" s="8" t="str">
        <f t="array" ref="F57">IF(D57="","",IFERROR(INDEX('Chart of Accounts'!$D:$D,MATCH(D57,'Chart of Accounts'!$A:$A,0)),""))</f>
        <v/>
      </c>
      <c r="G57" s="19"/>
      <c r="H57" s="19"/>
      <c r="I57" s="19"/>
      <c r="J57" s="19"/>
    </row>
    <row r="58" ht="15.75" customHeight="1">
      <c r="A58" s="8" t="str">
        <f t="shared" si="1"/>
        <v/>
      </c>
      <c r="B58" s="19"/>
      <c r="C58" s="19"/>
      <c r="D58" s="19"/>
      <c r="E58" s="8" t="str">
        <f t="array" ref="E58">IF(D58="","",IFERROR(INDEX('Chart of Accounts'!$B:$B,MATCH(D58,'Chart of Accounts'!$A:$A,0)),""))</f>
        <v/>
      </c>
      <c r="F58" s="8" t="str">
        <f t="array" ref="F58">IF(D58="","",IFERROR(INDEX('Chart of Accounts'!$D:$D,MATCH(D58,'Chart of Accounts'!$A:$A,0)),""))</f>
        <v/>
      </c>
      <c r="G58" s="19"/>
      <c r="H58" s="19"/>
      <c r="I58" s="19"/>
      <c r="J58" s="19"/>
    </row>
    <row r="59" ht="15.75" customHeight="1">
      <c r="A59" s="8" t="str">
        <f t="shared" si="1"/>
        <v/>
      </c>
      <c r="B59" s="19"/>
      <c r="C59" s="19"/>
      <c r="D59" s="19"/>
      <c r="E59" s="8" t="str">
        <f t="array" ref="E59">IF(D59="","",IFERROR(INDEX('Chart of Accounts'!$B:$B,MATCH(D59,'Chart of Accounts'!$A:$A,0)),""))</f>
        <v/>
      </c>
      <c r="F59" s="8" t="str">
        <f t="array" ref="F59">IF(D59="","",IFERROR(INDEX('Chart of Accounts'!$D:$D,MATCH(D59,'Chart of Accounts'!$A:$A,0)),""))</f>
        <v/>
      </c>
      <c r="G59" s="19"/>
      <c r="H59" s="19"/>
      <c r="I59" s="19"/>
      <c r="J59" s="19"/>
    </row>
    <row r="60" ht="15.75" customHeight="1">
      <c r="A60" s="8" t="str">
        <f t="shared" si="1"/>
        <v/>
      </c>
      <c r="B60" s="19"/>
      <c r="C60" s="19"/>
      <c r="D60" s="19"/>
      <c r="E60" s="8" t="str">
        <f t="array" ref="E60">IF(D60="","",IFERROR(INDEX('Chart of Accounts'!$B:$B,MATCH(D60,'Chart of Accounts'!$A:$A,0)),""))</f>
        <v/>
      </c>
      <c r="F60" s="8" t="str">
        <f t="array" ref="F60">IF(D60="","",IFERROR(INDEX('Chart of Accounts'!$D:$D,MATCH(D60,'Chart of Accounts'!$A:$A,0)),""))</f>
        <v/>
      </c>
      <c r="G60" s="19"/>
      <c r="H60" s="19"/>
      <c r="I60" s="19"/>
      <c r="J60" s="19"/>
    </row>
    <row r="61" ht="15.75" customHeight="1">
      <c r="A61" s="8" t="str">
        <f t="shared" si="1"/>
        <v/>
      </c>
      <c r="B61" s="19"/>
      <c r="C61" s="19"/>
      <c r="D61" s="19"/>
      <c r="E61" s="8" t="str">
        <f t="array" ref="E61">IF(D61="","",IFERROR(INDEX('Chart of Accounts'!$B:$B,MATCH(D61,'Chart of Accounts'!$A:$A,0)),""))</f>
        <v/>
      </c>
      <c r="F61" s="8" t="str">
        <f t="array" ref="F61">IF(D61="","",IFERROR(INDEX('Chart of Accounts'!$D:$D,MATCH(D61,'Chart of Accounts'!$A:$A,0)),""))</f>
        <v/>
      </c>
      <c r="G61" s="19"/>
      <c r="H61" s="19"/>
      <c r="I61" s="19"/>
      <c r="J61" s="19"/>
    </row>
    <row r="62" ht="15.75" customHeight="1">
      <c r="A62" s="8" t="str">
        <f t="shared" si="1"/>
        <v/>
      </c>
      <c r="B62" s="19"/>
      <c r="C62" s="19"/>
      <c r="D62" s="19"/>
      <c r="E62" s="8" t="str">
        <f t="array" ref="E62">IF(D62="","",IFERROR(INDEX('Chart of Accounts'!$B:$B,MATCH(D62,'Chart of Accounts'!$A:$A,0)),""))</f>
        <v/>
      </c>
      <c r="F62" s="8" t="str">
        <f t="array" ref="F62">IF(D62="","",IFERROR(INDEX('Chart of Accounts'!$D:$D,MATCH(D62,'Chart of Accounts'!$A:$A,0)),""))</f>
        <v/>
      </c>
      <c r="G62" s="19"/>
      <c r="H62" s="19"/>
      <c r="I62" s="19"/>
      <c r="J62" s="19"/>
    </row>
    <row r="63" ht="15.75" customHeight="1">
      <c r="A63" s="8" t="str">
        <f t="shared" si="1"/>
        <v/>
      </c>
      <c r="B63" s="19"/>
      <c r="C63" s="19"/>
      <c r="D63" s="19"/>
      <c r="E63" s="8" t="str">
        <f t="array" ref="E63">IF(D63="","",IFERROR(INDEX('Chart of Accounts'!$B:$B,MATCH(D63,'Chart of Accounts'!$A:$A,0)),""))</f>
        <v/>
      </c>
      <c r="F63" s="8" t="str">
        <f t="array" ref="F63">IF(D63="","",IFERROR(INDEX('Chart of Accounts'!$D:$D,MATCH(D63,'Chart of Accounts'!$A:$A,0)),""))</f>
        <v/>
      </c>
      <c r="G63" s="19"/>
      <c r="H63" s="19"/>
      <c r="I63" s="19"/>
      <c r="J63" s="19"/>
    </row>
    <row r="64" ht="15.75" customHeight="1">
      <c r="A64" s="8" t="str">
        <f t="shared" si="1"/>
        <v/>
      </c>
      <c r="B64" s="19"/>
      <c r="C64" s="19"/>
      <c r="D64" s="19"/>
      <c r="E64" s="8" t="str">
        <f t="array" ref="E64">IF(D64="","",IFERROR(INDEX('Chart of Accounts'!$B:$B,MATCH(D64,'Chart of Accounts'!$A:$A,0)),""))</f>
        <v/>
      </c>
      <c r="F64" s="8" t="str">
        <f t="array" ref="F64">IF(D64="","",IFERROR(INDEX('Chart of Accounts'!$D:$D,MATCH(D64,'Chart of Accounts'!$A:$A,0)),""))</f>
        <v/>
      </c>
      <c r="G64" s="19"/>
      <c r="H64" s="19"/>
      <c r="I64" s="19"/>
      <c r="J64" s="19"/>
    </row>
    <row r="65" ht="15.75" customHeight="1">
      <c r="A65" s="8" t="str">
        <f t="shared" si="1"/>
        <v/>
      </c>
      <c r="B65" s="19"/>
      <c r="C65" s="19"/>
      <c r="D65" s="19"/>
      <c r="E65" s="8" t="str">
        <f t="array" ref="E65">IF(D65="","",IFERROR(INDEX('Chart of Accounts'!$B:$B,MATCH(D65,'Chart of Accounts'!$A:$A,0)),""))</f>
        <v/>
      </c>
      <c r="F65" s="8" t="str">
        <f t="array" ref="F65">IF(D65="","",IFERROR(INDEX('Chart of Accounts'!$D:$D,MATCH(D65,'Chart of Accounts'!$A:$A,0)),""))</f>
        <v/>
      </c>
      <c r="G65" s="19"/>
      <c r="H65" s="19"/>
      <c r="I65" s="19"/>
      <c r="J65" s="19"/>
    </row>
    <row r="66" ht="15.75" customHeight="1">
      <c r="A66" s="8" t="str">
        <f t="shared" si="1"/>
        <v/>
      </c>
      <c r="B66" s="19"/>
      <c r="C66" s="19"/>
      <c r="D66" s="19"/>
      <c r="E66" s="8" t="str">
        <f t="array" ref="E66">IF(D66="","",IFERROR(INDEX('Chart of Accounts'!$B:$B,MATCH(D66,'Chart of Accounts'!$A:$A,0)),""))</f>
        <v/>
      </c>
      <c r="F66" s="8" t="str">
        <f t="array" ref="F66">IF(D66="","",IFERROR(INDEX('Chart of Accounts'!$D:$D,MATCH(D66,'Chart of Accounts'!$A:$A,0)),""))</f>
        <v/>
      </c>
      <c r="G66" s="19"/>
      <c r="H66" s="19"/>
      <c r="I66" s="19"/>
      <c r="J66" s="19"/>
    </row>
    <row r="67" ht="15.75" customHeight="1">
      <c r="A67" s="8" t="str">
        <f t="shared" si="1"/>
        <v/>
      </c>
      <c r="B67" s="19"/>
      <c r="C67" s="19"/>
      <c r="D67" s="19"/>
      <c r="E67" s="8" t="str">
        <f t="array" ref="E67">IF(D67="","",IFERROR(INDEX('Chart of Accounts'!$B:$B,MATCH(D67,'Chart of Accounts'!$A:$A,0)),""))</f>
        <v/>
      </c>
      <c r="F67" s="8" t="str">
        <f t="array" ref="F67">IF(D67="","",IFERROR(INDEX('Chart of Accounts'!$D:$D,MATCH(D67,'Chart of Accounts'!$A:$A,0)),""))</f>
        <v/>
      </c>
      <c r="G67" s="19"/>
      <c r="H67" s="19"/>
      <c r="I67" s="19"/>
      <c r="J67" s="19"/>
    </row>
    <row r="68" ht="15.75" customHeight="1">
      <c r="A68" s="8" t="str">
        <f t="shared" si="1"/>
        <v/>
      </c>
      <c r="B68" s="19"/>
      <c r="C68" s="19"/>
      <c r="D68" s="19"/>
      <c r="E68" s="8" t="str">
        <f t="array" ref="E68">IF(D68="","",IFERROR(INDEX('Chart of Accounts'!$B:$B,MATCH(D68,'Chart of Accounts'!$A:$A,0)),""))</f>
        <v/>
      </c>
      <c r="F68" s="8" t="str">
        <f t="array" ref="F68">IF(D68="","",IFERROR(INDEX('Chart of Accounts'!$D:$D,MATCH(D68,'Chart of Accounts'!$A:$A,0)),""))</f>
        <v/>
      </c>
      <c r="G68" s="19"/>
      <c r="H68" s="19"/>
      <c r="I68" s="19"/>
      <c r="J68" s="19"/>
    </row>
    <row r="69" ht="15.75" customHeight="1">
      <c r="A69" s="8" t="str">
        <f t="shared" si="1"/>
        <v/>
      </c>
      <c r="B69" s="19"/>
      <c r="C69" s="19"/>
      <c r="D69" s="19"/>
      <c r="E69" s="8" t="str">
        <f t="array" ref="E69">IF(D69="","",IFERROR(INDEX('Chart of Accounts'!$B:$B,MATCH(D69,'Chart of Accounts'!$A:$A,0)),""))</f>
        <v/>
      </c>
      <c r="F69" s="8" t="str">
        <f t="array" ref="F69">IF(D69="","",IFERROR(INDEX('Chart of Accounts'!$D:$D,MATCH(D69,'Chart of Accounts'!$A:$A,0)),""))</f>
        <v/>
      </c>
      <c r="G69" s="19"/>
      <c r="H69" s="19"/>
      <c r="I69" s="19"/>
      <c r="J69" s="19"/>
    </row>
    <row r="70" ht="15.75" customHeight="1">
      <c r="A70" s="8" t="str">
        <f t="shared" si="1"/>
        <v/>
      </c>
      <c r="B70" s="19"/>
      <c r="C70" s="19"/>
      <c r="D70" s="19"/>
      <c r="E70" s="8" t="str">
        <f t="array" ref="E70">IF(D70="","",IFERROR(INDEX('Chart of Accounts'!$B:$B,MATCH(D70,'Chart of Accounts'!$A:$A,0)),""))</f>
        <v/>
      </c>
      <c r="F70" s="8" t="str">
        <f t="array" ref="F70">IF(D70="","",IFERROR(INDEX('Chart of Accounts'!$D:$D,MATCH(D70,'Chart of Accounts'!$A:$A,0)),""))</f>
        <v/>
      </c>
      <c r="G70" s="19"/>
      <c r="H70" s="19"/>
      <c r="I70" s="19"/>
      <c r="J70" s="19"/>
    </row>
    <row r="71" ht="15.75" customHeight="1">
      <c r="A71" s="8" t="str">
        <f t="shared" si="1"/>
        <v/>
      </c>
      <c r="B71" s="19"/>
      <c r="C71" s="19"/>
      <c r="D71" s="19"/>
      <c r="E71" s="8" t="str">
        <f t="array" ref="E71">IF(D71="","",IFERROR(INDEX('Chart of Accounts'!$B:$B,MATCH(D71,'Chart of Accounts'!$A:$A,0)),""))</f>
        <v/>
      </c>
      <c r="F71" s="8" t="str">
        <f t="array" ref="F71">IF(D71="","",IFERROR(INDEX('Chart of Accounts'!$D:$D,MATCH(D71,'Chart of Accounts'!$A:$A,0)),""))</f>
        <v/>
      </c>
      <c r="G71" s="19"/>
      <c r="H71" s="19"/>
      <c r="I71" s="19"/>
      <c r="J71" s="19"/>
    </row>
    <row r="72" ht="15.75" customHeight="1">
      <c r="A72" s="8" t="str">
        <f t="shared" si="1"/>
        <v/>
      </c>
      <c r="B72" s="19"/>
      <c r="C72" s="19"/>
      <c r="D72" s="19"/>
      <c r="E72" s="8" t="str">
        <f t="array" ref="E72">IF(D72="","",IFERROR(INDEX('Chart of Accounts'!$B:$B,MATCH(D72,'Chart of Accounts'!$A:$A,0)),""))</f>
        <v/>
      </c>
      <c r="F72" s="8" t="str">
        <f t="array" ref="F72">IF(D72="","",IFERROR(INDEX('Chart of Accounts'!$D:$D,MATCH(D72,'Chart of Accounts'!$A:$A,0)),""))</f>
        <v/>
      </c>
      <c r="G72" s="19"/>
      <c r="H72" s="19"/>
      <c r="I72" s="19"/>
      <c r="J72" s="19"/>
    </row>
    <row r="73" ht="15.75" customHeight="1">
      <c r="A73" s="8" t="str">
        <f t="shared" si="1"/>
        <v/>
      </c>
      <c r="B73" s="19"/>
      <c r="C73" s="19"/>
      <c r="D73" s="19"/>
      <c r="E73" s="8" t="str">
        <f t="array" ref="E73">IF(D73="","",IFERROR(INDEX('Chart of Accounts'!$B:$B,MATCH(D73,'Chart of Accounts'!$A:$A,0)),""))</f>
        <v/>
      </c>
      <c r="F73" s="8" t="str">
        <f t="array" ref="F73">IF(D73="","",IFERROR(INDEX('Chart of Accounts'!$D:$D,MATCH(D73,'Chart of Accounts'!$A:$A,0)),""))</f>
        <v/>
      </c>
      <c r="G73" s="19"/>
      <c r="H73" s="19"/>
      <c r="I73" s="19"/>
      <c r="J73" s="19"/>
    </row>
    <row r="74" ht="15.75" customHeight="1">
      <c r="A74" s="8" t="str">
        <f t="shared" si="1"/>
        <v/>
      </c>
      <c r="B74" s="19"/>
      <c r="C74" s="19"/>
      <c r="D74" s="19"/>
      <c r="E74" s="8" t="str">
        <f t="array" ref="E74">IF(D74="","",IFERROR(INDEX('Chart of Accounts'!$B:$B,MATCH(D74,'Chart of Accounts'!$A:$A,0)),""))</f>
        <v/>
      </c>
      <c r="F74" s="8" t="str">
        <f t="array" ref="F74">IF(D74="","",IFERROR(INDEX('Chart of Accounts'!$D:$D,MATCH(D74,'Chart of Accounts'!$A:$A,0)),""))</f>
        <v/>
      </c>
      <c r="G74" s="19"/>
      <c r="H74" s="19"/>
      <c r="I74" s="19"/>
      <c r="J74" s="19"/>
    </row>
    <row r="75" ht="15.75" customHeight="1">
      <c r="A75" s="8" t="str">
        <f t="shared" si="1"/>
        <v/>
      </c>
      <c r="B75" s="19"/>
      <c r="C75" s="19"/>
      <c r="D75" s="19"/>
      <c r="E75" s="8" t="str">
        <f t="array" ref="E75">IF(D75="","",IFERROR(INDEX('Chart of Accounts'!$B:$B,MATCH(D75,'Chart of Accounts'!$A:$A,0)),""))</f>
        <v/>
      </c>
      <c r="F75" s="8" t="str">
        <f t="array" ref="F75">IF(D75="","",IFERROR(INDEX('Chart of Accounts'!$D:$D,MATCH(D75,'Chart of Accounts'!$A:$A,0)),""))</f>
        <v/>
      </c>
      <c r="G75" s="19"/>
      <c r="H75" s="19"/>
      <c r="I75" s="19"/>
      <c r="J75" s="19"/>
    </row>
    <row r="76" ht="15.75" customHeight="1">
      <c r="A76" s="8" t="str">
        <f t="shared" si="1"/>
        <v/>
      </c>
      <c r="B76" s="19"/>
      <c r="C76" s="19"/>
      <c r="D76" s="19"/>
      <c r="E76" s="8" t="str">
        <f t="array" ref="E76">IF(D76="","",IFERROR(INDEX('Chart of Accounts'!$B:$B,MATCH(D76,'Chart of Accounts'!$A:$A,0)),""))</f>
        <v/>
      </c>
      <c r="F76" s="8" t="str">
        <f t="array" ref="F76">IF(D76="","",IFERROR(INDEX('Chart of Accounts'!$D:$D,MATCH(D76,'Chart of Accounts'!$A:$A,0)),""))</f>
        <v/>
      </c>
      <c r="G76" s="19"/>
      <c r="H76" s="19"/>
      <c r="I76" s="19"/>
      <c r="J76" s="19"/>
    </row>
    <row r="77" ht="15.75" customHeight="1">
      <c r="A77" s="8" t="str">
        <f t="shared" si="1"/>
        <v/>
      </c>
      <c r="B77" s="19"/>
      <c r="C77" s="19"/>
      <c r="D77" s="19"/>
      <c r="E77" s="8" t="str">
        <f t="array" ref="E77">IF(D77="","",IFERROR(INDEX('Chart of Accounts'!$B:$B,MATCH(D77,'Chart of Accounts'!$A:$A,0)),""))</f>
        <v/>
      </c>
      <c r="F77" s="8" t="str">
        <f t="array" ref="F77">IF(D77="","",IFERROR(INDEX('Chart of Accounts'!$D:$D,MATCH(D77,'Chart of Accounts'!$A:$A,0)),""))</f>
        <v/>
      </c>
      <c r="G77" s="19"/>
      <c r="H77" s="19"/>
      <c r="I77" s="19"/>
      <c r="J77" s="19"/>
    </row>
    <row r="78" ht="15.75" customHeight="1">
      <c r="A78" s="8" t="str">
        <f t="shared" si="1"/>
        <v/>
      </c>
      <c r="B78" s="19"/>
      <c r="C78" s="19"/>
      <c r="D78" s="19"/>
      <c r="E78" s="8" t="str">
        <f t="array" ref="E78">IF(D78="","",IFERROR(INDEX('Chart of Accounts'!$B:$B,MATCH(D78,'Chart of Accounts'!$A:$A,0)),""))</f>
        <v/>
      </c>
      <c r="F78" s="8" t="str">
        <f t="array" ref="F78">IF(D78="","",IFERROR(INDEX('Chart of Accounts'!$D:$D,MATCH(D78,'Chart of Accounts'!$A:$A,0)),""))</f>
        <v/>
      </c>
      <c r="G78" s="19"/>
      <c r="H78" s="19"/>
      <c r="I78" s="19"/>
      <c r="J78" s="19"/>
    </row>
    <row r="79" ht="15.75" customHeight="1">
      <c r="A79" s="8" t="str">
        <f t="shared" si="1"/>
        <v/>
      </c>
      <c r="B79" s="19"/>
      <c r="C79" s="19"/>
      <c r="D79" s="19"/>
      <c r="E79" s="8" t="str">
        <f t="array" ref="E79">IF(D79="","",IFERROR(INDEX('Chart of Accounts'!$B:$B,MATCH(D79,'Chart of Accounts'!$A:$A,0)),""))</f>
        <v/>
      </c>
      <c r="F79" s="8" t="str">
        <f t="array" ref="F79">IF(D79="","",IFERROR(INDEX('Chart of Accounts'!$D:$D,MATCH(D79,'Chart of Accounts'!$A:$A,0)),""))</f>
        <v/>
      </c>
      <c r="G79" s="19"/>
      <c r="H79" s="19"/>
      <c r="I79" s="19"/>
      <c r="J79" s="19"/>
    </row>
    <row r="80" ht="15.75" customHeight="1">
      <c r="A80" s="8" t="str">
        <f t="shared" si="1"/>
        <v/>
      </c>
      <c r="B80" s="19"/>
      <c r="C80" s="19"/>
      <c r="D80" s="19"/>
      <c r="E80" s="8" t="str">
        <f t="array" ref="E80">IF(D80="","",IFERROR(INDEX('Chart of Accounts'!$B:$B,MATCH(D80,'Chart of Accounts'!$A:$A,0)),""))</f>
        <v/>
      </c>
      <c r="F80" s="8" t="str">
        <f t="array" ref="F80">IF(D80="","",IFERROR(INDEX('Chart of Accounts'!$D:$D,MATCH(D80,'Chart of Accounts'!$A:$A,0)),""))</f>
        <v/>
      </c>
      <c r="G80" s="19"/>
      <c r="H80" s="19"/>
      <c r="I80" s="19"/>
      <c r="J80" s="19"/>
    </row>
    <row r="81" ht="15.75" customHeight="1">
      <c r="A81" s="8" t="str">
        <f t="shared" si="1"/>
        <v/>
      </c>
      <c r="B81" s="19"/>
      <c r="C81" s="19"/>
      <c r="D81" s="19"/>
      <c r="E81" s="8" t="str">
        <f t="array" ref="E81">IF(D81="","",IFERROR(INDEX('Chart of Accounts'!$B:$B,MATCH(D81,'Chart of Accounts'!$A:$A,0)),""))</f>
        <v/>
      </c>
      <c r="F81" s="8" t="str">
        <f t="array" ref="F81">IF(D81="","",IFERROR(INDEX('Chart of Accounts'!$D:$D,MATCH(D81,'Chart of Accounts'!$A:$A,0)),""))</f>
        <v/>
      </c>
      <c r="G81" s="19"/>
      <c r="H81" s="19"/>
      <c r="I81" s="19"/>
      <c r="J81" s="19"/>
    </row>
    <row r="82" ht="15.75" customHeight="1">
      <c r="A82" s="8" t="str">
        <f t="shared" si="1"/>
        <v/>
      </c>
      <c r="B82" s="19"/>
      <c r="C82" s="19"/>
      <c r="D82" s="19"/>
      <c r="E82" s="8" t="str">
        <f t="array" ref="E82">IF(D82="","",IFERROR(INDEX('Chart of Accounts'!$B:$B,MATCH(D82,'Chart of Accounts'!$A:$A,0)),""))</f>
        <v/>
      </c>
      <c r="F82" s="8" t="str">
        <f t="array" ref="F82">IF(D82="","",IFERROR(INDEX('Chart of Accounts'!$D:$D,MATCH(D82,'Chart of Accounts'!$A:$A,0)),""))</f>
        <v/>
      </c>
      <c r="G82" s="19"/>
      <c r="H82" s="19"/>
      <c r="I82" s="19"/>
      <c r="J82" s="19"/>
    </row>
    <row r="83" ht="15.75" customHeight="1">
      <c r="A83" s="8" t="str">
        <f t="shared" si="1"/>
        <v/>
      </c>
      <c r="B83" s="19"/>
      <c r="C83" s="19"/>
      <c r="D83" s="19"/>
      <c r="E83" s="8" t="str">
        <f t="array" ref="E83">IF(D83="","",IFERROR(INDEX('Chart of Accounts'!$B:$B,MATCH(D83,'Chart of Accounts'!$A:$A,0)),""))</f>
        <v/>
      </c>
      <c r="F83" s="8" t="str">
        <f t="array" ref="F83">IF(D83="","",IFERROR(INDEX('Chart of Accounts'!$D:$D,MATCH(D83,'Chart of Accounts'!$A:$A,0)),""))</f>
        <v/>
      </c>
      <c r="G83" s="19"/>
      <c r="H83" s="19"/>
      <c r="I83" s="19"/>
      <c r="J83" s="19"/>
    </row>
    <row r="84" ht="15.75" customHeight="1">
      <c r="A84" s="8" t="str">
        <f t="shared" si="1"/>
        <v/>
      </c>
      <c r="B84" s="19"/>
      <c r="C84" s="19"/>
      <c r="D84" s="19"/>
      <c r="E84" s="8" t="str">
        <f t="array" ref="E84">IF(D84="","",IFERROR(INDEX('Chart of Accounts'!$B:$B,MATCH(D84,'Chart of Accounts'!$A:$A,0)),""))</f>
        <v/>
      </c>
      <c r="F84" s="8" t="str">
        <f t="array" ref="F84">IF(D84="","",IFERROR(INDEX('Chart of Accounts'!$D:$D,MATCH(D84,'Chart of Accounts'!$A:$A,0)),""))</f>
        <v/>
      </c>
      <c r="G84" s="19"/>
      <c r="H84" s="19"/>
      <c r="I84" s="19"/>
      <c r="J84" s="19"/>
    </row>
    <row r="85" ht="15.75" customHeight="1">
      <c r="A85" s="8" t="str">
        <f t="shared" si="1"/>
        <v/>
      </c>
      <c r="B85" s="19"/>
      <c r="C85" s="19"/>
      <c r="D85" s="19"/>
      <c r="E85" s="8" t="str">
        <f t="array" ref="E85">IF(D85="","",IFERROR(INDEX('Chart of Accounts'!$B:$B,MATCH(D85,'Chart of Accounts'!$A:$A,0)),""))</f>
        <v/>
      </c>
      <c r="F85" s="8" t="str">
        <f t="array" ref="F85">IF(D85="","",IFERROR(INDEX('Chart of Accounts'!$D:$D,MATCH(D85,'Chart of Accounts'!$A:$A,0)),""))</f>
        <v/>
      </c>
      <c r="G85" s="19"/>
      <c r="H85" s="19"/>
      <c r="I85" s="19"/>
      <c r="J85" s="19"/>
    </row>
    <row r="86" ht="15.75" customHeight="1">
      <c r="A86" s="8" t="str">
        <f t="shared" si="1"/>
        <v/>
      </c>
      <c r="B86" s="19"/>
      <c r="C86" s="19"/>
      <c r="D86" s="19"/>
      <c r="E86" s="8" t="str">
        <f t="array" ref="E86">IF(D86="","",IFERROR(INDEX('Chart of Accounts'!$B:$B,MATCH(D86,'Chart of Accounts'!$A:$A,0)),""))</f>
        <v/>
      </c>
      <c r="F86" s="8" t="str">
        <f t="array" ref="F86">IF(D86="","",IFERROR(INDEX('Chart of Accounts'!$D:$D,MATCH(D86,'Chart of Accounts'!$A:$A,0)),""))</f>
        <v/>
      </c>
      <c r="G86" s="19"/>
      <c r="H86" s="19"/>
      <c r="I86" s="19"/>
      <c r="J86" s="19"/>
    </row>
    <row r="87" ht="15.75" customHeight="1">
      <c r="A87" s="8" t="str">
        <f t="shared" si="1"/>
        <v/>
      </c>
      <c r="B87" s="19"/>
      <c r="C87" s="19"/>
      <c r="D87" s="19"/>
      <c r="E87" s="8" t="str">
        <f t="array" ref="E87">IF(D87="","",IFERROR(INDEX('Chart of Accounts'!$B:$B,MATCH(D87,'Chart of Accounts'!$A:$A,0)),""))</f>
        <v/>
      </c>
      <c r="F87" s="8" t="str">
        <f t="array" ref="F87">IF(D87="","",IFERROR(INDEX('Chart of Accounts'!$D:$D,MATCH(D87,'Chart of Accounts'!$A:$A,0)),""))</f>
        <v/>
      </c>
      <c r="G87" s="19"/>
      <c r="H87" s="19"/>
      <c r="I87" s="19"/>
      <c r="J87" s="19"/>
    </row>
    <row r="88" ht="15.75" customHeight="1">
      <c r="A88" s="8" t="str">
        <f t="shared" si="1"/>
        <v/>
      </c>
      <c r="B88" s="19"/>
      <c r="C88" s="19"/>
      <c r="D88" s="19"/>
      <c r="E88" s="8" t="str">
        <f t="array" ref="E88">IF(D88="","",IFERROR(INDEX('Chart of Accounts'!$B:$B,MATCH(D88,'Chart of Accounts'!$A:$A,0)),""))</f>
        <v/>
      </c>
      <c r="F88" s="8" t="str">
        <f t="array" ref="F88">IF(D88="","",IFERROR(INDEX('Chart of Accounts'!$D:$D,MATCH(D88,'Chart of Accounts'!$A:$A,0)),""))</f>
        <v/>
      </c>
      <c r="G88" s="19"/>
      <c r="H88" s="19"/>
      <c r="I88" s="19"/>
      <c r="J88" s="19"/>
    </row>
    <row r="89" ht="15.75" customHeight="1">
      <c r="A89" s="8" t="str">
        <f t="shared" si="1"/>
        <v/>
      </c>
      <c r="B89" s="19"/>
      <c r="C89" s="19"/>
      <c r="D89" s="19"/>
      <c r="E89" s="8" t="str">
        <f t="array" ref="E89">IF(D89="","",IFERROR(INDEX('Chart of Accounts'!$B:$B,MATCH(D89,'Chart of Accounts'!$A:$A,0)),""))</f>
        <v/>
      </c>
      <c r="F89" s="8" t="str">
        <f t="array" ref="F89">IF(D89="","",IFERROR(INDEX('Chart of Accounts'!$D:$D,MATCH(D89,'Chart of Accounts'!$A:$A,0)),""))</f>
        <v/>
      </c>
      <c r="G89" s="19"/>
      <c r="H89" s="19"/>
      <c r="I89" s="19"/>
      <c r="J89" s="19"/>
    </row>
    <row r="90" ht="15.75" customHeight="1">
      <c r="A90" s="8" t="str">
        <f t="shared" si="1"/>
        <v/>
      </c>
      <c r="B90" s="19"/>
      <c r="C90" s="19"/>
      <c r="D90" s="19"/>
      <c r="E90" s="8" t="str">
        <f t="array" ref="E90">IF(D90="","",IFERROR(INDEX('Chart of Accounts'!$B:$B,MATCH(D90,'Chart of Accounts'!$A:$A,0)),""))</f>
        <v/>
      </c>
      <c r="F90" s="8" t="str">
        <f t="array" ref="F90">IF(D90="","",IFERROR(INDEX('Chart of Accounts'!$D:$D,MATCH(D90,'Chart of Accounts'!$A:$A,0)),""))</f>
        <v/>
      </c>
      <c r="G90" s="19"/>
      <c r="H90" s="19"/>
      <c r="I90" s="19"/>
      <c r="J90" s="19"/>
    </row>
    <row r="91" ht="15.75" customHeight="1">
      <c r="A91" s="8" t="str">
        <f t="shared" si="1"/>
        <v/>
      </c>
      <c r="B91" s="19"/>
      <c r="C91" s="19"/>
      <c r="D91" s="19"/>
      <c r="E91" s="8" t="str">
        <f t="array" ref="E91">IF(D91="","",IFERROR(INDEX('Chart of Accounts'!$B:$B,MATCH(D91,'Chart of Accounts'!$A:$A,0)),""))</f>
        <v/>
      </c>
      <c r="F91" s="8" t="str">
        <f t="array" ref="F91">IF(D91="","",IFERROR(INDEX('Chart of Accounts'!$D:$D,MATCH(D91,'Chart of Accounts'!$A:$A,0)),""))</f>
        <v/>
      </c>
      <c r="G91" s="19"/>
      <c r="H91" s="19"/>
      <c r="I91" s="19"/>
      <c r="J91" s="19"/>
    </row>
    <row r="92" ht="15.75" customHeight="1">
      <c r="A92" s="8" t="str">
        <f t="shared" si="1"/>
        <v/>
      </c>
      <c r="B92" s="19"/>
      <c r="C92" s="19"/>
      <c r="D92" s="19"/>
      <c r="E92" s="8" t="str">
        <f t="array" ref="E92">IF(D92="","",IFERROR(INDEX('Chart of Accounts'!$B:$B,MATCH(D92,'Chart of Accounts'!$A:$A,0)),""))</f>
        <v/>
      </c>
      <c r="F92" s="8" t="str">
        <f t="array" ref="F92">IF(D92="","",IFERROR(INDEX('Chart of Accounts'!$D:$D,MATCH(D92,'Chart of Accounts'!$A:$A,0)),""))</f>
        <v/>
      </c>
      <c r="G92" s="19"/>
      <c r="H92" s="19"/>
      <c r="I92" s="19"/>
      <c r="J92" s="19"/>
    </row>
    <row r="93" ht="15.75" customHeight="1">
      <c r="A93" s="8" t="str">
        <f t="shared" si="1"/>
        <v/>
      </c>
      <c r="B93" s="19"/>
      <c r="C93" s="19"/>
      <c r="D93" s="19"/>
      <c r="E93" s="8" t="str">
        <f t="array" ref="E93">IF(D93="","",IFERROR(INDEX('Chart of Accounts'!$B:$B,MATCH(D93,'Chart of Accounts'!$A:$A,0)),""))</f>
        <v/>
      </c>
      <c r="F93" s="8" t="str">
        <f t="array" ref="F93">IF(D93="","",IFERROR(INDEX('Chart of Accounts'!$D:$D,MATCH(D93,'Chart of Accounts'!$A:$A,0)),""))</f>
        <v/>
      </c>
      <c r="G93" s="19"/>
      <c r="H93" s="19"/>
      <c r="I93" s="19"/>
      <c r="J93" s="19"/>
    </row>
    <row r="94" ht="15.75" customHeight="1">
      <c r="A94" s="8" t="str">
        <f t="shared" si="1"/>
        <v/>
      </c>
      <c r="B94" s="19"/>
      <c r="C94" s="19"/>
      <c r="D94" s="19"/>
      <c r="E94" s="8" t="str">
        <f t="array" ref="E94">IF(D94="","",IFERROR(INDEX('Chart of Accounts'!$B:$B,MATCH(D94,'Chart of Accounts'!$A:$A,0)),""))</f>
        <v/>
      </c>
      <c r="F94" s="8" t="str">
        <f t="array" ref="F94">IF(D94="","",IFERROR(INDEX('Chart of Accounts'!$D:$D,MATCH(D94,'Chart of Accounts'!$A:$A,0)),""))</f>
        <v/>
      </c>
      <c r="G94" s="19"/>
      <c r="H94" s="19"/>
      <c r="I94" s="19"/>
      <c r="J94" s="19"/>
    </row>
    <row r="95" ht="15.75" customHeight="1">
      <c r="A95" s="8" t="str">
        <f t="shared" si="1"/>
        <v/>
      </c>
      <c r="B95" s="19"/>
      <c r="C95" s="19"/>
      <c r="D95" s="19"/>
      <c r="E95" s="8" t="str">
        <f t="array" ref="E95">IF(D95="","",IFERROR(INDEX('Chart of Accounts'!$B:$B,MATCH(D95,'Chart of Accounts'!$A:$A,0)),""))</f>
        <v/>
      </c>
      <c r="F95" s="8" t="str">
        <f t="array" ref="F95">IF(D95="","",IFERROR(INDEX('Chart of Accounts'!$D:$D,MATCH(D95,'Chart of Accounts'!$A:$A,0)),""))</f>
        <v/>
      </c>
      <c r="G95" s="19"/>
      <c r="H95" s="19"/>
      <c r="I95" s="19"/>
      <c r="J95" s="19"/>
    </row>
    <row r="96" ht="15.75" customHeight="1">
      <c r="A96" s="8" t="str">
        <f t="shared" si="1"/>
        <v/>
      </c>
      <c r="B96" s="19"/>
      <c r="C96" s="19"/>
      <c r="D96" s="19"/>
      <c r="E96" s="8" t="str">
        <f t="array" ref="E96">IF(D96="","",IFERROR(INDEX('Chart of Accounts'!$B:$B,MATCH(D96,'Chart of Accounts'!$A:$A,0)),""))</f>
        <v/>
      </c>
      <c r="F96" s="8" t="str">
        <f t="array" ref="F96">IF(D96="","",IFERROR(INDEX('Chart of Accounts'!$D:$D,MATCH(D96,'Chart of Accounts'!$A:$A,0)),""))</f>
        <v/>
      </c>
      <c r="G96" s="19"/>
      <c r="H96" s="19"/>
      <c r="I96" s="19"/>
      <c r="J96" s="19"/>
    </row>
    <row r="97" ht="15.75" customHeight="1">
      <c r="A97" s="8" t="str">
        <f t="shared" si="1"/>
        <v/>
      </c>
      <c r="B97" s="19"/>
      <c r="C97" s="19"/>
      <c r="D97" s="19"/>
      <c r="E97" s="8" t="str">
        <f t="array" ref="E97">IF(D97="","",IFERROR(INDEX('Chart of Accounts'!$B:$B,MATCH(D97,'Chart of Accounts'!$A:$A,0)),""))</f>
        <v/>
      </c>
      <c r="F97" s="8" t="str">
        <f t="array" ref="F97">IF(D97="","",IFERROR(INDEX('Chart of Accounts'!$D:$D,MATCH(D97,'Chart of Accounts'!$A:$A,0)),""))</f>
        <v/>
      </c>
      <c r="G97" s="19"/>
      <c r="H97" s="19"/>
      <c r="I97" s="19"/>
      <c r="J97" s="19"/>
    </row>
    <row r="98" ht="15.75" customHeight="1">
      <c r="A98" s="8" t="str">
        <f t="shared" si="1"/>
        <v/>
      </c>
      <c r="B98" s="19"/>
      <c r="C98" s="19"/>
      <c r="D98" s="19"/>
      <c r="E98" s="8" t="str">
        <f t="array" ref="E98">IF(D98="","",IFERROR(INDEX('Chart of Accounts'!$B:$B,MATCH(D98,'Chart of Accounts'!$A:$A,0)),""))</f>
        <v/>
      </c>
      <c r="F98" s="8" t="str">
        <f t="array" ref="F98">IF(D98="","",IFERROR(INDEX('Chart of Accounts'!$D:$D,MATCH(D98,'Chart of Accounts'!$A:$A,0)),""))</f>
        <v/>
      </c>
      <c r="G98" s="19"/>
      <c r="H98" s="19"/>
      <c r="I98" s="19"/>
      <c r="J98" s="19"/>
    </row>
    <row r="99" ht="15.75" customHeight="1">
      <c r="A99" s="8" t="str">
        <f t="shared" si="1"/>
        <v/>
      </c>
      <c r="B99" s="19"/>
      <c r="C99" s="19"/>
      <c r="D99" s="19"/>
      <c r="E99" s="8" t="str">
        <f t="array" ref="E99">IF(D99="","",IFERROR(INDEX('Chart of Accounts'!$B:$B,MATCH(D99,'Chart of Accounts'!$A:$A,0)),""))</f>
        <v/>
      </c>
      <c r="F99" s="8" t="str">
        <f t="array" ref="F99">IF(D99="","",IFERROR(INDEX('Chart of Accounts'!$D:$D,MATCH(D99,'Chart of Accounts'!$A:$A,0)),""))</f>
        <v/>
      </c>
      <c r="G99" s="19"/>
      <c r="H99" s="19"/>
      <c r="I99" s="19"/>
      <c r="J99" s="19"/>
    </row>
    <row r="100" ht="15.75" customHeight="1">
      <c r="A100" s="8" t="str">
        <f t="shared" si="1"/>
        <v/>
      </c>
      <c r="B100" s="19"/>
      <c r="C100" s="19"/>
      <c r="D100" s="19"/>
      <c r="E100" s="8" t="str">
        <f t="array" ref="E100">IF(D100="","",IFERROR(INDEX('Chart of Accounts'!$B:$B,MATCH(D100,'Chart of Accounts'!$A:$A,0)),""))</f>
        <v/>
      </c>
      <c r="F100" s="8" t="str">
        <f t="array" ref="F100">IF(D100="","",IFERROR(INDEX('Chart of Accounts'!$D:$D,MATCH(D100,'Chart of Accounts'!$A:$A,0)),""))</f>
        <v/>
      </c>
      <c r="G100" s="19"/>
      <c r="H100" s="19"/>
      <c r="I100" s="19"/>
      <c r="J100" s="19"/>
    </row>
    <row r="101" ht="15.75" customHeight="1">
      <c r="A101" s="8" t="str">
        <f t="shared" si="1"/>
        <v/>
      </c>
      <c r="B101" s="19"/>
      <c r="C101" s="19"/>
      <c r="D101" s="19"/>
      <c r="E101" s="8" t="str">
        <f t="array" ref="E101">IF(D101="","",IFERROR(INDEX('Chart of Accounts'!$B:$B,MATCH(D101,'Chart of Accounts'!$A:$A,0)),""))</f>
        <v/>
      </c>
      <c r="F101" s="8" t="str">
        <f t="array" ref="F101">IF(D101="","",IFERROR(INDEX('Chart of Accounts'!$D:$D,MATCH(D101,'Chart of Accounts'!$A:$A,0)),""))</f>
        <v/>
      </c>
      <c r="G101" s="19"/>
      <c r="H101" s="19"/>
      <c r="I101" s="19"/>
      <c r="J101" s="19"/>
    </row>
    <row r="102" ht="15.75" customHeight="1">
      <c r="A102" s="8" t="str">
        <f t="shared" si="1"/>
        <v/>
      </c>
      <c r="B102" s="19"/>
      <c r="C102" s="19"/>
      <c r="D102" s="19"/>
      <c r="E102" s="8" t="str">
        <f t="array" ref="E102">IF(D102="","",IFERROR(INDEX('Chart of Accounts'!$B:$B,MATCH(D102,'Chart of Accounts'!$A:$A,0)),""))</f>
        <v/>
      </c>
      <c r="F102" s="8" t="str">
        <f t="array" ref="F102">IF(D102="","",IFERROR(INDEX('Chart of Accounts'!$D:$D,MATCH(D102,'Chart of Accounts'!$A:$A,0)),""))</f>
        <v/>
      </c>
      <c r="G102" s="19"/>
      <c r="H102" s="19"/>
      <c r="I102" s="19"/>
      <c r="J102" s="19"/>
    </row>
    <row r="103" ht="15.75" customHeight="1">
      <c r="A103" s="8" t="str">
        <f t="shared" si="1"/>
        <v/>
      </c>
      <c r="B103" s="19"/>
      <c r="C103" s="19"/>
      <c r="D103" s="19"/>
      <c r="E103" s="8" t="str">
        <f t="array" ref="E103">IF(D103="","",IFERROR(INDEX('Chart of Accounts'!$B:$B,MATCH(D103,'Chart of Accounts'!$A:$A,0)),""))</f>
        <v/>
      </c>
      <c r="F103" s="8" t="str">
        <f t="array" ref="F103">IF(D103="","",IFERROR(INDEX('Chart of Accounts'!$D:$D,MATCH(D103,'Chart of Accounts'!$A:$A,0)),""))</f>
        <v/>
      </c>
      <c r="G103" s="19"/>
      <c r="H103" s="19"/>
      <c r="I103" s="19"/>
      <c r="J103" s="19"/>
    </row>
    <row r="104" ht="15.75" customHeight="1">
      <c r="A104" s="8" t="str">
        <f t="shared" si="1"/>
        <v/>
      </c>
      <c r="B104" s="19"/>
      <c r="C104" s="19"/>
      <c r="D104" s="19"/>
      <c r="E104" s="8" t="str">
        <f t="array" ref="E104">IF(D104="","",IFERROR(INDEX('Chart of Accounts'!$B:$B,MATCH(D104,'Chart of Accounts'!$A:$A,0)),""))</f>
        <v/>
      </c>
      <c r="F104" s="8" t="str">
        <f t="array" ref="F104">IF(D104="","",IFERROR(INDEX('Chart of Accounts'!$D:$D,MATCH(D104,'Chart of Accounts'!$A:$A,0)),""))</f>
        <v/>
      </c>
      <c r="G104" s="19"/>
      <c r="H104" s="19"/>
      <c r="I104" s="19"/>
      <c r="J104" s="19"/>
    </row>
    <row r="105" ht="15.75" customHeight="1">
      <c r="A105" s="8" t="str">
        <f t="shared" si="1"/>
        <v/>
      </c>
      <c r="B105" s="19"/>
      <c r="C105" s="19"/>
      <c r="D105" s="19"/>
      <c r="E105" s="8" t="str">
        <f t="array" ref="E105">IF(D105="","",IFERROR(INDEX('Chart of Accounts'!$B:$B,MATCH(D105,'Chart of Accounts'!$A:$A,0)),""))</f>
        <v/>
      </c>
      <c r="F105" s="8" t="str">
        <f t="array" ref="F105">IF(D105="","",IFERROR(INDEX('Chart of Accounts'!$D:$D,MATCH(D105,'Chart of Accounts'!$A:$A,0)),""))</f>
        <v/>
      </c>
      <c r="G105" s="19"/>
      <c r="H105" s="19"/>
      <c r="I105" s="19"/>
      <c r="J105" s="19"/>
    </row>
    <row r="106" ht="15.75" customHeight="1">
      <c r="A106" s="8" t="str">
        <f t="shared" si="1"/>
        <v/>
      </c>
      <c r="B106" s="19"/>
      <c r="C106" s="19"/>
      <c r="D106" s="19"/>
      <c r="E106" s="8" t="str">
        <f t="array" ref="E106">IF(D106="","",IFERROR(INDEX('Chart of Accounts'!$B:$B,MATCH(D106,'Chart of Accounts'!$A:$A,0)),""))</f>
        <v/>
      </c>
      <c r="F106" s="8" t="str">
        <f t="array" ref="F106">IF(D106="","",IFERROR(INDEX('Chart of Accounts'!$D:$D,MATCH(D106,'Chart of Accounts'!$A:$A,0)),""))</f>
        <v/>
      </c>
      <c r="G106" s="19"/>
      <c r="H106" s="19"/>
      <c r="I106" s="19"/>
      <c r="J106" s="19"/>
    </row>
    <row r="107" ht="15.75" customHeight="1">
      <c r="A107" s="8" t="str">
        <f t="shared" si="1"/>
        <v/>
      </c>
      <c r="B107" s="19"/>
      <c r="C107" s="19"/>
      <c r="D107" s="19"/>
      <c r="E107" s="8" t="str">
        <f t="array" ref="E107">IF(D107="","",IFERROR(INDEX('Chart of Accounts'!$B:$B,MATCH(D107,'Chart of Accounts'!$A:$A,0)),""))</f>
        <v/>
      </c>
      <c r="F107" s="8" t="str">
        <f t="array" ref="F107">IF(D107="","",IFERROR(INDEX('Chart of Accounts'!$D:$D,MATCH(D107,'Chart of Accounts'!$A:$A,0)),""))</f>
        <v/>
      </c>
      <c r="G107" s="19"/>
      <c r="H107" s="19"/>
      <c r="I107" s="19"/>
      <c r="J107" s="19"/>
    </row>
    <row r="108" ht="15.75" customHeight="1">
      <c r="A108" s="8" t="str">
        <f t="shared" si="1"/>
        <v/>
      </c>
      <c r="B108" s="19"/>
      <c r="C108" s="19"/>
      <c r="D108" s="19"/>
      <c r="E108" s="8" t="str">
        <f t="array" ref="E108">IF(D108="","",IFERROR(INDEX('Chart of Accounts'!$B:$B,MATCH(D108,'Chart of Accounts'!$A:$A,0)),""))</f>
        <v/>
      </c>
      <c r="F108" s="8" t="str">
        <f t="array" ref="F108">IF(D108="","",IFERROR(INDEX('Chart of Accounts'!$D:$D,MATCH(D108,'Chart of Accounts'!$A:$A,0)),""))</f>
        <v/>
      </c>
      <c r="G108" s="19"/>
      <c r="H108" s="19"/>
      <c r="I108" s="19"/>
      <c r="J108" s="19"/>
    </row>
    <row r="109" ht="15.75" customHeight="1">
      <c r="A109" s="8" t="str">
        <f t="shared" si="1"/>
        <v/>
      </c>
      <c r="B109" s="19"/>
      <c r="C109" s="19"/>
      <c r="D109" s="19"/>
      <c r="E109" s="8" t="str">
        <f t="array" ref="E109">IF(D109="","",IFERROR(INDEX('Chart of Accounts'!$B:$B,MATCH(D109,'Chart of Accounts'!$A:$A,0)),""))</f>
        <v/>
      </c>
      <c r="F109" s="8" t="str">
        <f t="array" ref="F109">IF(D109="","",IFERROR(INDEX('Chart of Accounts'!$D:$D,MATCH(D109,'Chart of Accounts'!$A:$A,0)),""))</f>
        <v/>
      </c>
      <c r="G109" s="19"/>
      <c r="H109" s="19"/>
      <c r="I109" s="19"/>
      <c r="J109" s="19"/>
    </row>
    <row r="110" ht="15.75" customHeight="1">
      <c r="A110" s="8" t="str">
        <f t="shared" si="1"/>
        <v/>
      </c>
      <c r="B110" s="19"/>
      <c r="C110" s="19"/>
      <c r="D110" s="19"/>
      <c r="E110" s="8" t="str">
        <f t="array" ref="E110">IF(D110="","",IFERROR(INDEX('Chart of Accounts'!$B:$B,MATCH(D110,'Chart of Accounts'!$A:$A,0)),""))</f>
        <v/>
      </c>
      <c r="F110" s="8" t="str">
        <f t="array" ref="F110">IF(D110="","",IFERROR(INDEX('Chart of Accounts'!$D:$D,MATCH(D110,'Chart of Accounts'!$A:$A,0)),""))</f>
        <v/>
      </c>
      <c r="G110" s="19"/>
      <c r="H110" s="19"/>
      <c r="I110" s="19"/>
      <c r="J110" s="19"/>
    </row>
    <row r="111" ht="15.75" customHeight="1">
      <c r="A111" s="8" t="str">
        <f t="shared" si="1"/>
        <v/>
      </c>
      <c r="B111" s="19"/>
      <c r="C111" s="19"/>
      <c r="D111" s="19"/>
      <c r="E111" s="8" t="str">
        <f t="array" ref="E111">IF(D111="","",IFERROR(INDEX('Chart of Accounts'!$B:$B,MATCH(D111,'Chart of Accounts'!$A:$A,0)),""))</f>
        <v/>
      </c>
      <c r="F111" s="8" t="str">
        <f t="array" ref="F111">IF(D111="","",IFERROR(INDEX('Chart of Accounts'!$D:$D,MATCH(D111,'Chart of Accounts'!$A:$A,0)),""))</f>
        <v/>
      </c>
      <c r="G111" s="19"/>
      <c r="H111" s="19"/>
      <c r="I111" s="19"/>
      <c r="J111" s="19"/>
    </row>
    <row r="112" ht="15.75" customHeight="1">
      <c r="A112" s="8" t="str">
        <f t="shared" si="1"/>
        <v/>
      </c>
      <c r="B112" s="19"/>
      <c r="C112" s="19"/>
      <c r="D112" s="19"/>
      <c r="E112" s="8" t="str">
        <f t="array" ref="E112">IF(D112="","",IFERROR(INDEX('Chart of Accounts'!$B:$B,MATCH(D112,'Chart of Accounts'!$A:$A,0)),""))</f>
        <v/>
      </c>
      <c r="F112" s="8" t="str">
        <f t="array" ref="F112">IF(D112="","",IFERROR(INDEX('Chart of Accounts'!$D:$D,MATCH(D112,'Chart of Accounts'!$A:$A,0)),""))</f>
        <v/>
      </c>
      <c r="G112" s="19"/>
      <c r="H112" s="19"/>
      <c r="I112" s="19"/>
      <c r="J112" s="19"/>
    </row>
    <row r="113" ht="15.75" customHeight="1">
      <c r="A113" s="8" t="str">
        <f t="shared" si="1"/>
        <v/>
      </c>
      <c r="B113" s="19"/>
      <c r="C113" s="19"/>
      <c r="D113" s="19"/>
      <c r="E113" s="8" t="str">
        <f t="array" ref="E113">IF(D113="","",IFERROR(INDEX('Chart of Accounts'!$B:$B,MATCH(D113,'Chart of Accounts'!$A:$A,0)),""))</f>
        <v/>
      </c>
      <c r="F113" s="8" t="str">
        <f t="array" ref="F113">IF(D113="","",IFERROR(INDEX('Chart of Accounts'!$D:$D,MATCH(D113,'Chart of Accounts'!$A:$A,0)),""))</f>
        <v/>
      </c>
      <c r="G113" s="19"/>
      <c r="H113" s="19"/>
      <c r="I113" s="19"/>
      <c r="J113" s="19"/>
    </row>
    <row r="114" ht="15.75" customHeight="1">
      <c r="A114" s="8" t="str">
        <f t="shared" si="1"/>
        <v/>
      </c>
      <c r="B114" s="19"/>
      <c r="C114" s="19"/>
      <c r="D114" s="19"/>
      <c r="E114" s="8" t="str">
        <f t="array" ref="E114">IF(D114="","",IFERROR(INDEX('Chart of Accounts'!$B:$B,MATCH(D114,'Chart of Accounts'!$A:$A,0)),""))</f>
        <v/>
      </c>
      <c r="F114" s="8" t="str">
        <f t="array" ref="F114">IF(D114="","",IFERROR(INDEX('Chart of Accounts'!$D:$D,MATCH(D114,'Chart of Accounts'!$A:$A,0)),""))</f>
        <v/>
      </c>
      <c r="G114" s="19"/>
      <c r="H114" s="19"/>
      <c r="I114" s="19"/>
      <c r="J114" s="19"/>
    </row>
    <row r="115" ht="15.75" customHeight="1">
      <c r="A115" s="8" t="str">
        <f t="shared" si="1"/>
        <v/>
      </c>
      <c r="B115" s="19"/>
      <c r="C115" s="19"/>
      <c r="D115" s="19"/>
      <c r="E115" s="8" t="str">
        <f t="array" ref="E115">IF(D115="","",IFERROR(INDEX('Chart of Accounts'!$B:$B,MATCH(D115,'Chart of Accounts'!$A:$A,0)),""))</f>
        <v/>
      </c>
      <c r="F115" s="8" t="str">
        <f t="array" ref="F115">IF(D115="","",IFERROR(INDEX('Chart of Accounts'!$D:$D,MATCH(D115,'Chart of Accounts'!$A:$A,0)),""))</f>
        <v/>
      </c>
      <c r="G115" s="19"/>
      <c r="H115" s="19"/>
      <c r="I115" s="19"/>
      <c r="J115" s="19"/>
    </row>
    <row r="116" ht="15.75" customHeight="1">
      <c r="A116" s="8" t="str">
        <f t="shared" si="1"/>
        <v/>
      </c>
      <c r="B116" s="19"/>
      <c r="C116" s="19"/>
      <c r="D116" s="19"/>
      <c r="E116" s="8" t="str">
        <f t="array" ref="E116">IF(D116="","",IFERROR(INDEX('Chart of Accounts'!$B:$B,MATCH(D116,'Chart of Accounts'!$A:$A,0)),""))</f>
        <v/>
      </c>
      <c r="F116" s="8" t="str">
        <f t="array" ref="F116">IF(D116="","",IFERROR(INDEX('Chart of Accounts'!$D:$D,MATCH(D116,'Chart of Accounts'!$A:$A,0)),""))</f>
        <v/>
      </c>
      <c r="G116" s="19"/>
      <c r="H116" s="19"/>
      <c r="I116" s="19"/>
      <c r="J116" s="19"/>
    </row>
    <row r="117" ht="15.75" customHeight="1">
      <c r="A117" s="8" t="str">
        <f t="shared" si="1"/>
        <v/>
      </c>
      <c r="B117" s="19"/>
      <c r="C117" s="19"/>
      <c r="D117" s="19"/>
      <c r="E117" s="8" t="str">
        <f t="array" ref="E117">IF(D117="","",IFERROR(INDEX('Chart of Accounts'!$B:$B,MATCH(D117,'Chart of Accounts'!$A:$A,0)),""))</f>
        <v/>
      </c>
      <c r="F117" s="8" t="str">
        <f t="array" ref="F117">IF(D117="","",IFERROR(INDEX('Chart of Accounts'!$D:$D,MATCH(D117,'Chart of Accounts'!$A:$A,0)),""))</f>
        <v/>
      </c>
      <c r="G117" s="19"/>
      <c r="H117" s="19"/>
      <c r="I117" s="19"/>
      <c r="J117" s="19"/>
    </row>
    <row r="118" ht="15.75" customHeight="1">
      <c r="A118" s="8" t="str">
        <f t="shared" si="1"/>
        <v/>
      </c>
      <c r="B118" s="19"/>
      <c r="C118" s="19"/>
      <c r="D118" s="19"/>
      <c r="E118" s="8" t="str">
        <f t="array" ref="E118">IF(D118="","",IFERROR(INDEX('Chart of Accounts'!$B:$B,MATCH(D118,'Chart of Accounts'!$A:$A,0)),""))</f>
        <v/>
      </c>
      <c r="F118" s="8" t="str">
        <f t="array" ref="F118">IF(D118="","",IFERROR(INDEX('Chart of Accounts'!$D:$D,MATCH(D118,'Chart of Accounts'!$A:$A,0)),""))</f>
        <v/>
      </c>
      <c r="G118" s="19"/>
      <c r="H118" s="19"/>
      <c r="I118" s="19"/>
      <c r="J118" s="19"/>
    </row>
    <row r="119" ht="15.75" customHeight="1">
      <c r="A119" s="8" t="str">
        <f t="shared" si="1"/>
        <v/>
      </c>
      <c r="B119" s="19"/>
      <c r="C119" s="19"/>
      <c r="D119" s="19"/>
      <c r="E119" s="8" t="str">
        <f t="array" ref="E119">IF(D119="","",IFERROR(INDEX('Chart of Accounts'!$B:$B,MATCH(D119,'Chart of Accounts'!$A:$A,0)),""))</f>
        <v/>
      </c>
      <c r="F119" s="8" t="str">
        <f t="array" ref="F119">IF(D119="","",IFERROR(INDEX('Chart of Accounts'!$D:$D,MATCH(D119,'Chart of Accounts'!$A:$A,0)),""))</f>
        <v/>
      </c>
      <c r="G119" s="19"/>
      <c r="H119" s="19"/>
      <c r="I119" s="19"/>
      <c r="J119" s="19"/>
    </row>
    <row r="120" ht="15.75" customHeight="1">
      <c r="A120" s="8" t="str">
        <f t="shared" si="1"/>
        <v/>
      </c>
      <c r="B120" s="19"/>
      <c r="C120" s="19"/>
      <c r="D120" s="19"/>
      <c r="E120" s="8" t="str">
        <f t="array" ref="E120">IF(D120="","",IFERROR(INDEX('Chart of Accounts'!$B:$B,MATCH(D120,'Chart of Accounts'!$A:$A,0)),""))</f>
        <v/>
      </c>
      <c r="F120" s="8" t="str">
        <f t="array" ref="F120">IF(D120="","",IFERROR(INDEX('Chart of Accounts'!$D:$D,MATCH(D120,'Chart of Accounts'!$A:$A,0)),""))</f>
        <v/>
      </c>
      <c r="G120" s="19"/>
      <c r="H120" s="19"/>
      <c r="I120" s="19"/>
      <c r="J120" s="19"/>
    </row>
    <row r="121" ht="15.75" customHeight="1">
      <c r="A121" s="8" t="str">
        <f t="shared" si="1"/>
        <v/>
      </c>
      <c r="B121" s="19"/>
      <c r="C121" s="19"/>
      <c r="D121" s="19"/>
      <c r="E121" s="8" t="str">
        <f t="array" ref="E121">IF(D121="","",IFERROR(INDEX('Chart of Accounts'!$B:$B,MATCH(D121,'Chart of Accounts'!$A:$A,0)),""))</f>
        <v/>
      </c>
      <c r="F121" s="8" t="str">
        <f t="array" ref="F121">IF(D121="","",IFERROR(INDEX('Chart of Accounts'!$D:$D,MATCH(D121,'Chart of Accounts'!$A:$A,0)),""))</f>
        <v/>
      </c>
      <c r="G121" s="19"/>
      <c r="H121" s="19"/>
      <c r="I121" s="19"/>
      <c r="J121" s="19"/>
    </row>
    <row r="122" ht="15.75" customHeight="1">
      <c r="A122" s="8" t="str">
        <f t="shared" si="1"/>
        <v/>
      </c>
      <c r="B122" s="19"/>
      <c r="C122" s="19"/>
      <c r="D122" s="19"/>
      <c r="E122" s="8" t="str">
        <f t="array" ref="E122">IF(D122="","",IFERROR(INDEX('Chart of Accounts'!$B:$B,MATCH(D122,'Chart of Accounts'!$A:$A,0)),""))</f>
        <v/>
      </c>
      <c r="F122" s="8" t="str">
        <f t="array" ref="F122">IF(D122="","",IFERROR(INDEX('Chart of Accounts'!$D:$D,MATCH(D122,'Chart of Accounts'!$A:$A,0)),""))</f>
        <v/>
      </c>
      <c r="G122" s="19"/>
      <c r="H122" s="19"/>
      <c r="I122" s="19"/>
      <c r="J122" s="19"/>
    </row>
    <row r="123" ht="15.75" customHeight="1">
      <c r="A123" s="8" t="str">
        <f t="shared" si="1"/>
        <v/>
      </c>
      <c r="B123" s="19"/>
      <c r="C123" s="19"/>
      <c r="D123" s="19"/>
      <c r="E123" s="8" t="str">
        <f t="array" ref="E123">IF(D123="","",IFERROR(INDEX('Chart of Accounts'!$B:$B,MATCH(D123,'Chart of Accounts'!$A:$A,0)),""))</f>
        <v/>
      </c>
      <c r="F123" s="8" t="str">
        <f t="array" ref="F123">IF(D123="","",IFERROR(INDEX('Chart of Accounts'!$D:$D,MATCH(D123,'Chart of Accounts'!$A:$A,0)),""))</f>
        <v/>
      </c>
      <c r="G123" s="19"/>
      <c r="H123" s="19"/>
      <c r="I123" s="19"/>
      <c r="J123" s="19"/>
    </row>
    <row r="124" ht="15.75" customHeight="1">
      <c r="A124" s="8" t="str">
        <f t="shared" si="1"/>
        <v/>
      </c>
      <c r="B124" s="19"/>
      <c r="C124" s="19"/>
      <c r="D124" s="19"/>
      <c r="E124" s="8" t="str">
        <f t="array" ref="E124">IF(D124="","",IFERROR(INDEX('Chart of Accounts'!$B:$B,MATCH(D124,'Chart of Accounts'!$A:$A,0)),""))</f>
        <v/>
      </c>
      <c r="F124" s="8" t="str">
        <f t="array" ref="F124">IF(D124="","",IFERROR(INDEX('Chart of Accounts'!$D:$D,MATCH(D124,'Chart of Accounts'!$A:$A,0)),""))</f>
        <v/>
      </c>
      <c r="G124" s="19"/>
      <c r="H124" s="19"/>
      <c r="I124" s="19"/>
      <c r="J124" s="19"/>
    </row>
    <row r="125" ht="15.75" customHeight="1">
      <c r="A125" s="8" t="str">
        <f t="shared" si="1"/>
        <v/>
      </c>
      <c r="B125" s="19"/>
      <c r="C125" s="19"/>
      <c r="D125" s="19"/>
      <c r="E125" s="8" t="str">
        <f t="array" ref="E125">IF(D125="","",IFERROR(INDEX('Chart of Accounts'!$B:$B,MATCH(D125,'Chart of Accounts'!$A:$A,0)),""))</f>
        <v/>
      </c>
      <c r="F125" s="8" t="str">
        <f t="array" ref="F125">IF(D125="","",IFERROR(INDEX('Chart of Accounts'!$D:$D,MATCH(D125,'Chart of Accounts'!$A:$A,0)),""))</f>
        <v/>
      </c>
      <c r="G125" s="19"/>
      <c r="H125" s="19"/>
      <c r="I125" s="19"/>
      <c r="J125" s="19"/>
    </row>
    <row r="126" ht="15.75" customHeight="1">
      <c r="A126" s="8" t="str">
        <f t="shared" si="1"/>
        <v/>
      </c>
      <c r="B126" s="19"/>
      <c r="C126" s="19"/>
      <c r="D126" s="19"/>
      <c r="E126" s="8" t="str">
        <f t="array" ref="E126">IF(D126="","",IFERROR(INDEX('Chart of Accounts'!$B:$B,MATCH(D126,'Chart of Accounts'!$A:$A,0)),""))</f>
        <v/>
      </c>
      <c r="F126" s="8" t="str">
        <f t="array" ref="F126">IF(D126="","",IFERROR(INDEX('Chart of Accounts'!$D:$D,MATCH(D126,'Chart of Accounts'!$A:$A,0)),""))</f>
        <v/>
      </c>
      <c r="G126" s="19"/>
      <c r="H126" s="19"/>
      <c r="I126" s="19"/>
      <c r="J126" s="19"/>
    </row>
    <row r="127" ht="15.75" customHeight="1">
      <c r="A127" s="8" t="str">
        <f t="shared" si="1"/>
        <v/>
      </c>
      <c r="B127" s="19"/>
      <c r="C127" s="19"/>
      <c r="D127" s="19"/>
      <c r="E127" s="8" t="str">
        <f t="array" ref="E127">IF(D127="","",IFERROR(INDEX('Chart of Accounts'!$B:$B,MATCH(D127,'Chart of Accounts'!$A:$A,0)),""))</f>
        <v/>
      </c>
      <c r="F127" s="8" t="str">
        <f t="array" ref="F127">IF(D127="","",IFERROR(INDEX('Chart of Accounts'!$D:$D,MATCH(D127,'Chart of Accounts'!$A:$A,0)),""))</f>
        <v/>
      </c>
      <c r="G127" s="19"/>
      <c r="H127" s="19"/>
      <c r="I127" s="19"/>
      <c r="J127" s="19"/>
    </row>
    <row r="128" ht="15.75" customHeight="1">
      <c r="A128" s="8" t="str">
        <f t="shared" si="1"/>
        <v/>
      </c>
      <c r="B128" s="19"/>
      <c r="C128" s="19"/>
      <c r="D128" s="19"/>
      <c r="E128" s="8" t="str">
        <f t="array" ref="E128">IF(D128="","",IFERROR(INDEX('Chart of Accounts'!$B:$B,MATCH(D128,'Chart of Accounts'!$A:$A,0)),""))</f>
        <v/>
      </c>
      <c r="F128" s="8" t="str">
        <f t="array" ref="F128">IF(D128="","",IFERROR(INDEX('Chart of Accounts'!$D:$D,MATCH(D128,'Chart of Accounts'!$A:$A,0)),""))</f>
        <v/>
      </c>
      <c r="G128" s="19"/>
      <c r="H128" s="19"/>
      <c r="I128" s="19"/>
      <c r="J128" s="19"/>
    </row>
    <row r="129" ht="15.75" customHeight="1">
      <c r="A129" s="8" t="str">
        <f t="shared" si="1"/>
        <v/>
      </c>
      <c r="B129" s="19"/>
      <c r="C129" s="19"/>
      <c r="D129" s="19"/>
      <c r="E129" s="8" t="str">
        <f t="array" ref="E129">IF(D129="","",IFERROR(INDEX('Chart of Accounts'!$B:$B,MATCH(D129,'Chart of Accounts'!$A:$A,0)),""))</f>
        <v/>
      </c>
      <c r="F129" s="8" t="str">
        <f t="array" ref="F129">IF(D129="","",IFERROR(INDEX('Chart of Accounts'!$D:$D,MATCH(D129,'Chart of Accounts'!$A:$A,0)),""))</f>
        <v/>
      </c>
      <c r="G129" s="19"/>
      <c r="H129" s="19"/>
      <c r="I129" s="19"/>
      <c r="J129" s="19"/>
    </row>
    <row r="130" ht="15.75" customHeight="1">
      <c r="A130" s="8" t="str">
        <f t="shared" si="1"/>
        <v/>
      </c>
      <c r="B130" s="19"/>
      <c r="C130" s="19"/>
      <c r="D130" s="19"/>
      <c r="E130" s="8" t="str">
        <f t="array" ref="E130">IF(D130="","",IFERROR(INDEX('Chart of Accounts'!$B:$B,MATCH(D130,'Chart of Accounts'!$A:$A,0)),""))</f>
        <v/>
      </c>
      <c r="F130" s="8" t="str">
        <f t="array" ref="F130">IF(D130="","",IFERROR(INDEX('Chart of Accounts'!$D:$D,MATCH(D130,'Chart of Accounts'!$A:$A,0)),""))</f>
        <v/>
      </c>
      <c r="G130" s="19"/>
      <c r="H130" s="19"/>
      <c r="I130" s="19"/>
      <c r="J130" s="19"/>
    </row>
    <row r="131" ht="15.75" customHeight="1">
      <c r="A131" s="8" t="str">
        <f t="shared" si="1"/>
        <v/>
      </c>
      <c r="B131" s="19"/>
      <c r="C131" s="19"/>
      <c r="D131" s="19"/>
      <c r="E131" s="8" t="str">
        <f t="array" ref="E131">IF(D131="","",IFERROR(INDEX('Chart of Accounts'!$B:$B,MATCH(D131,'Chart of Accounts'!$A:$A,0)),""))</f>
        <v/>
      </c>
      <c r="F131" s="8" t="str">
        <f t="array" ref="F131">IF(D131="","",IFERROR(INDEX('Chart of Accounts'!$D:$D,MATCH(D131,'Chart of Accounts'!$A:$A,0)),""))</f>
        <v/>
      </c>
      <c r="G131" s="19"/>
      <c r="H131" s="19"/>
      <c r="I131" s="19"/>
      <c r="J131" s="19"/>
    </row>
    <row r="132" ht="15.75" customHeight="1">
      <c r="A132" s="8" t="str">
        <f t="shared" si="1"/>
        <v/>
      </c>
      <c r="B132" s="19"/>
      <c r="C132" s="19"/>
      <c r="D132" s="19"/>
      <c r="E132" s="8" t="str">
        <f t="array" ref="E132">IF(D132="","",IFERROR(INDEX('Chart of Accounts'!$B:$B,MATCH(D132,'Chart of Accounts'!$A:$A,0)),""))</f>
        <v/>
      </c>
      <c r="F132" s="8" t="str">
        <f t="array" ref="F132">IF(D132="","",IFERROR(INDEX('Chart of Accounts'!$D:$D,MATCH(D132,'Chart of Accounts'!$A:$A,0)),""))</f>
        <v/>
      </c>
      <c r="G132" s="19"/>
      <c r="H132" s="19"/>
      <c r="I132" s="19"/>
      <c r="J132" s="19"/>
    </row>
    <row r="133" ht="15.75" customHeight="1">
      <c r="A133" s="8" t="str">
        <f t="shared" si="1"/>
        <v/>
      </c>
      <c r="B133" s="19"/>
      <c r="C133" s="19"/>
      <c r="D133" s="19"/>
      <c r="E133" s="8" t="str">
        <f t="array" ref="E133">IF(D133="","",IFERROR(INDEX('Chart of Accounts'!$B:$B,MATCH(D133,'Chart of Accounts'!$A:$A,0)),""))</f>
        <v/>
      </c>
      <c r="F133" s="8" t="str">
        <f t="array" ref="F133">IF(D133="","",IFERROR(INDEX('Chart of Accounts'!$D:$D,MATCH(D133,'Chart of Accounts'!$A:$A,0)),""))</f>
        <v/>
      </c>
      <c r="G133" s="19"/>
      <c r="H133" s="19"/>
      <c r="I133" s="19"/>
      <c r="J133" s="19"/>
    </row>
    <row r="134" ht="15.75" customHeight="1">
      <c r="A134" s="8" t="str">
        <f t="shared" si="1"/>
        <v/>
      </c>
      <c r="B134" s="19"/>
      <c r="C134" s="19"/>
      <c r="D134" s="19"/>
      <c r="E134" s="8" t="str">
        <f t="array" ref="E134">IF(D134="","",IFERROR(INDEX('Chart of Accounts'!$B:$B,MATCH(D134,'Chart of Accounts'!$A:$A,0)),""))</f>
        <v/>
      </c>
      <c r="F134" s="8" t="str">
        <f t="array" ref="F134">IF(D134="","",IFERROR(INDEX('Chart of Accounts'!$D:$D,MATCH(D134,'Chart of Accounts'!$A:$A,0)),""))</f>
        <v/>
      </c>
      <c r="G134" s="19"/>
      <c r="H134" s="19"/>
      <c r="I134" s="19"/>
      <c r="J134" s="19"/>
    </row>
    <row r="135" ht="15.75" customHeight="1">
      <c r="A135" s="8" t="str">
        <f t="shared" si="1"/>
        <v/>
      </c>
      <c r="B135" s="19"/>
      <c r="C135" s="19"/>
      <c r="D135" s="19"/>
      <c r="E135" s="8" t="str">
        <f t="array" ref="E135">IF(D135="","",IFERROR(INDEX('Chart of Accounts'!$B:$B,MATCH(D135,'Chart of Accounts'!$A:$A,0)),""))</f>
        <v/>
      </c>
      <c r="F135" s="8" t="str">
        <f t="array" ref="F135">IF(D135="","",IFERROR(INDEX('Chart of Accounts'!$D:$D,MATCH(D135,'Chart of Accounts'!$A:$A,0)),""))</f>
        <v/>
      </c>
      <c r="G135" s="19"/>
      <c r="H135" s="19"/>
      <c r="I135" s="19"/>
      <c r="J135" s="19"/>
    </row>
    <row r="136" ht="15.75" customHeight="1">
      <c r="A136" s="8" t="str">
        <f t="shared" si="1"/>
        <v/>
      </c>
      <c r="B136" s="19"/>
      <c r="C136" s="19"/>
      <c r="D136" s="19"/>
      <c r="E136" s="8" t="str">
        <f t="array" ref="E136">IF(D136="","",IFERROR(INDEX('Chart of Accounts'!$B:$B,MATCH(D136,'Chart of Accounts'!$A:$A,0)),""))</f>
        <v/>
      </c>
      <c r="F136" s="8" t="str">
        <f t="array" ref="F136">IF(D136="","",IFERROR(INDEX('Chart of Accounts'!$D:$D,MATCH(D136,'Chart of Accounts'!$A:$A,0)),""))</f>
        <v/>
      </c>
      <c r="G136" s="19"/>
      <c r="H136" s="19"/>
      <c r="I136" s="19"/>
      <c r="J136" s="19"/>
    </row>
    <row r="137" ht="15.75" customHeight="1">
      <c r="A137" s="8" t="str">
        <f t="shared" si="1"/>
        <v/>
      </c>
      <c r="B137" s="19"/>
      <c r="C137" s="19"/>
      <c r="D137" s="19"/>
      <c r="E137" s="8" t="str">
        <f t="array" ref="E137">IF(D137="","",IFERROR(INDEX('Chart of Accounts'!$B:$B,MATCH(D137,'Chart of Accounts'!$A:$A,0)),""))</f>
        <v/>
      </c>
      <c r="F137" s="8" t="str">
        <f t="array" ref="F137">IF(D137="","",IFERROR(INDEX('Chart of Accounts'!$D:$D,MATCH(D137,'Chart of Accounts'!$A:$A,0)),""))</f>
        <v/>
      </c>
      <c r="G137" s="19"/>
      <c r="H137" s="19"/>
      <c r="I137" s="19"/>
      <c r="J137" s="19"/>
    </row>
    <row r="138" ht="15.75" customHeight="1">
      <c r="A138" s="8" t="str">
        <f t="shared" si="1"/>
        <v/>
      </c>
      <c r="B138" s="19"/>
      <c r="C138" s="19"/>
      <c r="D138" s="19"/>
      <c r="E138" s="8" t="str">
        <f t="array" ref="E138">IF(D138="","",IFERROR(INDEX('Chart of Accounts'!$B:$B,MATCH(D138,'Chart of Accounts'!$A:$A,0)),""))</f>
        <v/>
      </c>
      <c r="F138" s="8" t="str">
        <f t="array" ref="F138">IF(D138="","",IFERROR(INDEX('Chart of Accounts'!$D:$D,MATCH(D138,'Chart of Accounts'!$A:$A,0)),""))</f>
        <v/>
      </c>
      <c r="G138" s="19"/>
      <c r="H138" s="19"/>
      <c r="I138" s="19"/>
      <c r="J138" s="19"/>
    </row>
    <row r="139" ht="15.75" customHeight="1">
      <c r="A139" s="8" t="str">
        <f t="shared" si="1"/>
        <v/>
      </c>
      <c r="B139" s="19"/>
      <c r="C139" s="19"/>
      <c r="D139" s="19"/>
      <c r="E139" s="8" t="str">
        <f t="array" ref="E139">IF(D139="","",IFERROR(INDEX('Chart of Accounts'!$B:$B,MATCH(D139,'Chart of Accounts'!$A:$A,0)),""))</f>
        <v/>
      </c>
      <c r="F139" s="8" t="str">
        <f t="array" ref="F139">IF(D139="","",IFERROR(INDEX('Chart of Accounts'!$D:$D,MATCH(D139,'Chart of Accounts'!$A:$A,0)),""))</f>
        <v/>
      </c>
      <c r="G139" s="19"/>
      <c r="H139" s="19"/>
      <c r="I139" s="19"/>
      <c r="J139" s="19"/>
    </row>
    <row r="140" ht="15.75" customHeight="1">
      <c r="A140" s="8" t="str">
        <f t="shared" si="1"/>
        <v/>
      </c>
      <c r="B140" s="19"/>
      <c r="C140" s="19"/>
      <c r="D140" s="19"/>
      <c r="E140" s="8" t="str">
        <f t="array" ref="E140">IF(D140="","",IFERROR(INDEX('Chart of Accounts'!$B:$B,MATCH(D140,'Chart of Accounts'!$A:$A,0)),""))</f>
        <v/>
      </c>
      <c r="F140" s="8" t="str">
        <f t="array" ref="F140">IF(D140="","",IFERROR(INDEX('Chart of Accounts'!$D:$D,MATCH(D140,'Chart of Accounts'!$A:$A,0)),""))</f>
        <v/>
      </c>
      <c r="G140" s="19"/>
      <c r="H140" s="19"/>
      <c r="I140" s="19"/>
      <c r="J140" s="19"/>
    </row>
    <row r="141" ht="15.75" customHeight="1">
      <c r="A141" s="8" t="str">
        <f t="shared" si="1"/>
        <v/>
      </c>
      <c r="B141" s="19"/>
      <c r="C141" s="19"/>
      <c r="D141" s="19"/>
      <c r="E141" s="8" t="str">
        <f t="array" ref="E141">IF(D141="","",IFERROR(INDEX('Chart of Accounts'!$B:$B,MATCH(D141,'Chart of Accounts'!$A:$A,0)),""))</f>
        <v/>
      </c>
      <c r="F141" s="8" t="str">
        <f t="array" ref="F141">IF(D141="","",IFERROR(INDEX('Chart of Accounts'!$D:$D,MATCH(D141,'Chart of Accounts'!$A:$A,0)),""))</f>
        <v/>
      </c>
      <c r="G141" s="19"/>
      <c r="H141" s="19"/>
      <c r="I141" s="19"/>
      <c r="J141" s="19"/>
    </row>
    <row r="142" ht="15.75" customHeight="1">
      <c r="A142" s="8" t="str">
        <f t="shared" si="1"/>
        <v/>
      </c>
      <c r="B142" s="19"/>
      <c r="C142" s="19"/>
      <c r="D142" s="19"/>
      <c r="E142" s="8" t="str">
        <f t="array" ref="E142">IF(D142="","",IFERROR(INDEX('Chart of Accounts'!$B:$B,MATCH(D142,'Chart of Accounts'!$A:$A,0)),""))</f>
        <v/>
      </c>
      <c r="F142" s="8" t="str">
        <f t="array" ref="F142">IF(D142="","",IFERROR(INDEX('Chart of Accounts'!$D:$D,MATCH(D142,'Chart of Accounts'!$A:$A,0)),""))</f>
        <v/>
      </c>
      <c r="G142" s="19"/>
      <c r="H142" s="19"/>
      <c r="I142" s="19"/>
      <c r="J142" s="19"/>
    </row>
    <row r="143" ht="15.75" customHeight="1">
      <c r="A143" s="8" t="str">
        <f t="shared" si="1"/>
        <v/>
      </c>
      <c r="B143" s="19"/>
      <c r="C143" s="19"/>
      <c r="D143" s="19"/>
      <c r="E143" s="8" t="str">
        <f t="array" ref="E143">IF(D143="","",IFERROR(INDEX('Chart of Accounts'!$B:$B,MATCH(D143,'Chart of Accounts'!$A:$A,0)),""))</f>
        <v/>
      </c>
      <c r="F143" s="8" t="str">
        <f t="array" ref="F143">IF(D143="","",IFERROR(INDEX('Chart of Accounts'!$D:$D,MATCH(D143,'Chart of Accounts'!$A:$A,0)),""))</f>
        <v/>
      </c>
      <c r="G143" s="19"/>
      <c r="H143" s="19"/>
      <c r="I143" s="19"/>
      <c r="J143" s="19"/>
    </row>
    <row r="144" ht="15.75" customHeight="1">
      <c r="A144" s="8" t="str">
        <f t="shared" si="1"/>
        <v/>
      </c>
      <c r="B144" s="19"/>
      <c r="C144" s="19"/>
      <c r="D144" s="19"/>
      <c r="E144" s="8" t="str">
        <f t="array" ref="E144">IF(D144="","",IFERROR(INDEX('Chart of Accounts'!$B:$B,MATCH(D144,'Chart of Accounts'!$A:$A,0)),""))</f>
        <v/>
      </c>
      <c r="F144" s="8" t="str">
        <f t="array" ref="F144">IF(D144="","",IFERROR(INDEX('Chart of Accounts'!$D:$D,MATCH(D144,'Chart of Accounts'!$A:$A,0)),""))</f>
        <v/>
      </c>
      <c r="G144" s="19"/>
      <c r="H144" s="19"/>
      <c r="I144" s="19"/>
      <c r="J144" s="19"/>
    </row>
    <row r="145" ht="15.75" customHeight="1">
      <c r="A145" s="8" t="str">
        <f t="shared" si="1"/>
        <v/>
      </c>
      <c r="B145" s="19"/>
      <c r="C145" s="19"/>
      <c r="D145" s="19"/>
      <c r="E145" s="8" t="str">
        <f t="array" ref="E145">IF(D145="","",IFERROR(INDEX('Chart of Accounts'!$B:$B,MATCH(D145,'Chart of Accounts'!$A:$A,0)),""))</f>
        <v/>
      </c>
      <c r="F145" s="8" t="str">
        <f t="array" ref="F145">IF(D145="","",IFERROR(INDEX('Chart of Accounts'!$D:$D,MATCH(D145,'Chart of Accounts'!$A:$A,0)),""))</f>
        <v/>
      </c>
      <c r="G145" s="19"/>
      <c r="H145" s="19"/>
      <c r="I145" s="19"/>
      <c r="J145" s="19"/>
    </row>
    <row r="146" ht="15.75" customHeight="1">
      <c r="A146" s="8" t="str">
        <f t="shared" si="1"/>
        <v/>
      </c>
      <c r="B146" s="19"/>
      <c r="C146" s="19"/>
      <c r="D146" s="19"/>
      <c r="E146" s="8" t="str">
        <f t="array" ref="E146">IF(D146="","",IFERROR(INDEX('Chart of Accounts'!$B:$B,MATCH(D146,'Chart of Accounts'!$A:$A,0)),""))</f>
        <v/>
      </c>
      <c r="F146" s="8" t="str">
        <f t="array" ref="F146">IF(D146="","",IFERROR(INDEX('Chart of Accounts'!$D:$D,MATCH(D146,'Chart of Accounts'!$A:$A,0)),""))</f>
        <v/>
      </c>
      <c r="G146" s="19"/>
      <c r="H146" s="19"/>
      <c r="I146" s="19"/>
      <c r="J146" s="19"/>
    </row>
    <row r="147" ht="15.75" customHeight="1">
      <c r="A147" s="8" t="str">
        <f t="shared" si="1"/>
        <v/>
      </c>
      <c r="B147" s="19"/>
      <c r="C147" s="19"/>
      <c r="D147" s="19"/>
      <c r="E147" s="8" t="str">
        <f t="array" ref="E147">IF(D147="","",IFERROR(INDEX('Chart of Accounts'!$B:$B,MATCH(D147,'Chart of Accounts'!$A:$A,0)),""))</f>
        <v/>
      </c>
      <c r="F147" s="8" t="str">
        <f t="array" ref="F147">IF(D147="","",IFERROR(INDEX('Chart of Accounts'!$D:$D,MATCH(D147,'Chart of Accounts'!$A:$A,0)),""))</f>
        <v/>
      </c>
      <c r="G147" s="19"/>
      <c r="H147" s="19"/>
      <c r="I147" s="19"/>
      <c r="J147" s="19"/>
    </row>
    <row r="148" ht="15.75" customHeight="1">
      <c r="A148" s="8" t="str">
        <f t="shared" si="1"/>
        <v/>
      </c>
      <c r="B148" s="19"/>
      <c r="C148" s="19"/>
      <c r="D148" s="19"/>
      <c r="E148" s="8" t="str">
        <f t="array" ref="E148">IF(D148="","",IFERROR(INDEX('Chart of Accounts'!$B:$B,MATCH(D148,'Chart of Accounts'!$A:$A,0)),""))</f>
        <v/>
      </c>
      <c r="F148" s="8" t="str">
        <f t="array" ref="F148">IF(D148="","",IFERROR(INDEX('Chart of Accounts'!$D:$D,MATCH(D148,'Chart of Accounts'!$A:$A,0)),""))</f>
        <v/>
      </c>
      <c r="G148" s="19"/>
      <c r="H148" s="19"/>
      <c r="I148" s="19"/>
      <c r="J148" s="19"/>
    </row>
    <row r="149" ht="15.75" customHeight="1">
      <c r="A149" s="8" t="str">
        <f t="shared" si="1"/>
        <v/>
      </c>
      <c r="B149" s="19"/>
      <c r="C149" s="19"/>
      <c r="D149" s="19"/>
      <c r="E149" s="8" t="str">
        <f t="array" ref="E149">IF(D149="","",IFERROR(INDEX('Chart of Accounts'!$B:$B,MATCH(D149,'Chart of Accounts'!$A:$A,0)),""))</f>
        <v/>
      </c>
      <c r="F149" s="8" t="str">
        <f t="array" ref="F149">IF(D149="","",IFERROR(INDEX('Chart of Accounts'!$D:$D,MATCH(D149,'Chart of Accounts'!$A:$A,0)),""))</f>
        <v/>
      </c>
      <c r="G149" s="19"/>
      <c r="H149" s="19"/>
      <c r="I149" s="19"/>
      <c r="J149" s="19"/>
    </row>
    <row r="150" ht="15.75" customHeight="1">
      <c r="A150" s="8" t="str">
        <f t="shared" si="1"/>
        <v/>
      </c>
      <c r="B150" s="19"/>
      <c r="C150" s="19"/>
      <c r="D150" s="19"/>
      <c r="E150" s="8" t="str">
        <f t="array" ref="E150">IF(D150="","",IFERROR(INDEX('Chart of Accounts'!$B:$B,MATCH(D150,'Chart of Accounts'!$A:$A,0)),""))</f>
        <v/>
      </c>
      <c r="F150" s="8" t="str">
        <f t="array" ref="F150">IF(D150="","",IFERROR(INDEX('Chart of Accounts'!$D:$D,MATCH(D150,'Chart of Accounts'!$A:$A,0)),""))</f>
        <v/>
      </c>
      <c r="G150" s="19"/>
      <c r="H150" s="19"/>
      <c r="I150" s="19"/>
      <c r="J150" s="19"/>
    </row>
    <row r="151" ht="15.75" customHeight="1">
      <c r="A151" s="8" t="str">
        <f t="shared" si="1"/>
        <v/>
      </c>
      <c r="B151" s="19"/>
      <c r="C151" s="19"/>
      <c r="D151" s="19"/>
      <c r="E151" s="8" t="str">
        <f t="array" ref="E151">IF(D151="","",IFERROR(INDEX('Chart of Accounts'!$B:$B,MATCH(D151,'Chart of Accounts'!$A:$A,0)),""))</f>
        <v/>
      </c>
      <c r="F151" s="8" t="str">
        <f t="array" ref="F151">IF(D151="","",IFERROR(INDEX('Chart of Accounts'!$D:$D,MATCH(D151,'Chart of Accounts'!$A:$A,0)),""))</f>
        <v/>
      </c>
      <c r="G151" s="19"/>
      <c r="H151" s="19"/>
      <c r="I151" s="19"/>
      <c r="J151" s="19"/>
    </row>
    <row r="152" ht="15.75" customHeight="1">
      <c r="A152" s="8" t="str">
        <f t="shared" si="1"/>
        <v/>
      </c>
      <c r="B152" s="19"/>
      <c r="C152" s="19"/>
      <c r="D152" s="19"/>
      <c r="E152" s="8" t="str">
        <f t="array" ref="E152">IF(D152="","",IFERROR(INDEX('Chart of Accounts'!$B:$B,MATCH(D152,'Chart of Accounts'!$A:$A,0)),""))</f>
        <v/>
      </c>
      <c r="F152" s="8" t="str">
        <f t="array" ref="F152">IF(D152="","",IFERROR(INDEX('Chart of Accounts'!$D:$D,MATCH(D152,'Chart of Accounts'!$A:$A,0)),""))</f>
        <v/>
      </c>
      <c r="G152" s="19"/>
      <c r="H152" s="19"/>
      <c r="I152" s="19"/>
      <c r="J152" s="19"/>
    </row>
    <row r="153" ht="15.75" customHeight="1">
      <c r="A153" s="8" t="str">
        <f t="shared" si="1"/>
        <v/>
      </c>
      <c r="B153" s="19"/>
      <c r="C153" s="19"/>
      <c r="D153" s="19"/>
      <c r="E153" s="8" t="str">
        <f t="array" ref="E153">IF(D153="","",IFERROR(INDEX('Chart of Accounts'!$B:$B,MATCH(D153,'Chart of Accounts'!$A:$A,0)),""))</f>
        <v/>
      </c>
      <c r="F153" s="8" t="str">
        <f t="array" ref="F153">IF(D153="","",IFERROR(INDEX('Chart of Accounts'!$D:$D,MATCH(D153,'Chart of Accounts'!$A:$A,0)),""))</f>
        <v/>
      </c>
      <c r="G153" s="19"/>
      <c r="H153" s="19"/>
      <c r="I153" s="19"/>
      <c r="J153" s="19"/>
    </row>
    <row r="154" ht="15.75" customHeight="1">
      <c r="A154" s="8" t="str">
        <f t="shared" si="1"/>
        <v/>
      </c>
      <c r="B154" s="19"/>
      <c r="C154" s="19"/>
      <c r="D154" s="19"/>
      <c r="E154" s="8" t="str">
        <f t="array" ref="E154">IF(D154="","",IFERROR(INDEX('Chart of Accounts'!$B:$B,MATCH(D154,'Chart of Accounts'!$A:$A,0)),""))</f>
        <v/>
      </c>
      <c r="F154" s="8" t="str">
        <f t="array" ref="F154">IF(D154="","",IFERROR(INDEX('Chart of Accounts'!$D:$D,MATCH(D154,'Chart of Accounts'!$A:$A,0)),""))</f>
        <v/>
      </c>
      <c r="G154" s="19"/>
      <c r="H154" s="19"/>
      <c r="I154" s="19"/>
      <c r="J154" s="19"/>
    </row>
    <row r="155" ht="15.75" customHeight="1">
      <c r="A155" s="8" t="str">
        <f t="shared" si="1"/>
        <v/>
      </c>
      <c r="B155" s="19"/>
      <c r="C155" s="19"/>
      <c r="D155" s="19"/>
      <c r="E155" s="8" t="str">
        <f t="array" ref="E155">IF(D155="","",IFERROR(INDEX('Chart of Accounts'!$B:$B,MATCH(D155,'Chart of Accounts'!$A:$A,0)),""))</f>
        <v/>
      </c>
      <c r="F155" s="8" t="str">
        <f t="array" ref="F155">IF(D155="","",IFERROR(INDEX('Chart of Accounts'!$D:$D,MATCH(D155,'Chart of Accounts'!$A:$A,0)),""))</f>
        <v/>
      </c>
      <c r="G155" s="19"/>
      <c r="H155" s="19"/>
      <c r="I155" s="19"/>
      <c r="J155" s="19"/>
    </row>
    <row r="156" ht="15.75" customHeight="1">
      <c r="A156" s="8" t="str">
        <f t="shared" si="1"/>
        <v/>
      </c>
      <c r="B156" s="19"/>
      <c r="C156" s="19"/>
      <c r="D156" s="19"/>
      <c r="E156" s="8" t="str">
        <f t="array" ref="E156">IF(D156="","",IFERROR(INDEX('Chart of Accounts'!$B:$B,MATCH(D156,'Chart of Accounts'!$A:$A,0)),""))</f>
        <v/>
      </c>
      <c r="F156" s="8" t="str">
        <f t="array" ref="F156">IF(D156="","",IFERROR(INDEX('Chart of Accounts'!$D:$D,MATCH(D156,'Chart of Accounts'!$A:$A,0)),""))</f>
        <v/>
      </c>
      <c r="G156" s="19"/>
      <c r="H156" s="19"/>
      <c r="I156" s="19"/>
      <c r="J156" s="19"/>
    </row>
    <row r="157" ht="15.75" customHeight="1">
      <c r="A157" s="8" t="str">
        <f t="shared" si="1"/>
        <v/>
      </c>
      <c r="B157" s="19"/>
      <c r="C157" s="19"/>
      <c r="D157" s="19"/>
      <c r="E157" s="8" t="str">
        <f t="array" ref="E157">IF(D157="","",IFERROR(INDEX('Chart of Accounts'!$B:$B,MATCH(D157,'Chart of Accounts'!$A:$A,0)),""))</f>
        <v/>
      </c>
      <c r="F157" s="8" t="str">
        <f t="array" ref="F157">IF(D157="","",IFERROR(INDEX('Chart of Accounts'!$D:$D,MATCH(D157,'Chart of Accounts'!$A:$A,0)),""))</f>
        <v/>
      </c>
      <c r="G157" s="19"/>
      <c r="H157" s="19"/>
      <c r="I157" s="19"/>
      <c r="J157" s="19"/>
    </row>
    <row r="158" ht="15.75" customHeight="1">
      <c r="A158" s="8" t="str">
        <f t="shared" si="1"/>
        <v/>
      </c>
      <c r="B158" s="19"/>
      <c r="C158" s="19"/>
      <c r="D158" s="19"/>
      <c r="E158" s="8" t="str">
        <f t="array" ref="E158">IF(D158="","",IFERROR(INDEX('Chart of Accounts'!$B:$B,MATCH(D158,'Chart of Accounts'!$A:$A,0)),""))</f>
        <v/>
      </c>
      <c r="F158" s="8" t="str">
        <f t="array" ref="F158">IF(D158="","",IFERROR(INDEX('Chart of Accounts'!$D:$D,MATCH(D158,'Chart of Accounts'!$A:$A,0)),""))</f>
        <v/>
      </c>
      <c r="G158" s="19"/>
      <c r="H158" s="19"/>
      <c r="I158" s="19"/>
      <c r="J158" s="19"/>
    </row>
    <row r="159" ht="15.75" customHeight="1">
      <c r="A159" s="8" t="str">
        <f t="shared" si="1"/>
        <v/>
      </c>
      <c r="B159" s="19"/>
      <c r="C159" s="19"/>
      <c r="D159" s="19"/>
      <c r="E159" s="8" t="str">
        <f t="array" ref="E159">IF(D159="","",IFERROR(INDEX('Chart of Accounts'!$B:$B,MATCH(D159,'Chart of Accounts'!$A:$A,0)),""))</f>
        <v/>
      </c>
      <c r="F159" s="8" t="str">
        <f t="array" ref="F159">IF(D159="","",IFERROR(INDEX('Chart of Accounts'!$D:$D,MATCH(D159,'Chart of Accounts'!$A:$A,0)),""))</f>
        <v/>
      </c>
      <c r="G159" s="19"/>
      <c r="H159" s="19"/>
      <c r="I159" s="19"/>
      <c r="J159" s="19"/>
    </row>
    <row r="160" ht="15.75" customHeight="1">
      <c r="A160" s="8" t="str">
        <f t="shared" si="1"/>
        <v/>
      </c>
      <c r="B160" s="19"/>
      <c r="C160" s="19"/>
      <c r="D160" s="19"/>
      <c r="E160" s="8" t="str">
        <f t="array" ref="E160">IF(D160="","",IFERROR(INDEX('Chart of Accounts'!$B:$B,MATCH(D160,'Chart of Accounts'!$A:$A,0)),""))</f>
        <v/>
      </c>
      <c r="F160" s="8" t="str">
        <f t="array" ref="F160">IF(D160="","",IFERROR(INDEX('Chart of Accounts'!$D:$D,MATCH(D160,'Chart of Accounts'!$A:$A,0)),""))</f>
        <v/>
      </c>
      <c r="G160" s="19"/>
      <c r="H160" s="19"/>
      <c r="I160" s="19"/>
      <c r="J160" s="19"/>
    </row>
    <row r="161" ht="15.75" customHeight="1">
      <c r="A161" s="8" t="str">
        <f t="shared" si="1"/>
        <v/>
      </c>
      <c r="B161" s="19"/>
      <c r="C161" s="19"/>
      <c r="D161" s="19"/>
      <c r="E161" s="8" t="str">
        <f t="array" ref="E161">IF(D161="","",IFERROR(INDEX('Chart of Accounts'!$B:$B,MATCH(D161,'Chart of Accounts'!$A:$A,0)),""))</f>
        <v/>
      </c>
      <c r="F161" s="8" t="str">
        <f t="array" ref="F161">IF(D161="","",IFERROR(INDEX('Chart of Accounts'!$D:$D,MATCH(D161,'Chart of Accounts'!$A:$A,0)),""))</f>
        <v/>
      </c>
      <c r="G161" s="19"/>
      <c r="H161" s="19"/>
      <c r="I161" s="19"/>
      <c r="J161" s="19"/>
    </row>
    <row r="162" ht="15.75" customHeight="1">
      <c r="A162" s="8" t="str">
        <f t="shared" si="1"/>
        <v/>
      </c>
      <c r="B162" s="19"/>
      <c r="C162" s="19"/>
      <c r="D162" s="19"/>
      <c r="E162" s="8" t="str">
        <f t="array" ref="E162">IF(D162="","",IFERROR(INDEX('Chart of Accounts'!$B:$B,MATCH(D162,'Chart of Accounts'!$A:$A,0)),""))</f>
        <v/>
      </c>
      <c r="F162" s="8" t="str">
        <f t="array" ref="F162">IF(D162="","",IFERROR(INDEX('Chart of Accounts'!$D:$D,MATCH(D162,'Chart of Accounts'!$A:$A,0)),""))</f>
        <v/>
      </c>
      <c r="G162" s="19"/>
      <c r="H162" s="19"/>
      <c r="I162" s="19"/>
      <c r="J162" s="19"/>
    </row>
    <row r="163" ht="15.75" customHeight="1">
      <c r="A163" s="8" t="str">
        <f t="shared" si="1"/>
        <v/>
      </c>
      <c r="B163" s="19"/>
      <c r="C163" s="19"/>
      <c r="D163" s="19"/>
      <c r="E163" s="8" t="str">
        <f t="array" ref="E163">IF(D163="","",IFERROR(INDEX('Chart of Accounts'!$B:$B,MATCH(D163,'Chart of Accounts'!$A:$A,0)),""))</f>
        <v/>
      </c>
      <c r="F163" s="8" t="str">
        <f t="array" ref="F163">IF(D163="","",IFERROR(INDEX('Chart of Accounts'!$D:$D,MATCH(D163,'Chart of Accounts'!$A:$A,0)),""))</f>
        <v/>
      </c>
      <c r="G163" s="19"/>
      <c r="H163" s="19"/>
      <c r="I163" s="19"/>
      <c r="J163" s="19"/>
    </row>
    <row r="164" ht="15.75" customHeight="1">
      <c r="A164" s="8" t="str">
        <f t="shared" si="1"/>
        <v/>
      </c>
      <c r="B164" s="19"/>
      <c r="C164" s="19"/>
      <c r="D164" s="19"/>
      <c r="E164" s="8" t="str">
        <f t="array" ref="E164">IF(D164="","",IFERROR(INDEX('Chart of Accounts'!$B:$B,MATCH(D164,'Chart of Accounts'!$A:$A,0)),""))</f>
        <v/>
      </c>
      <c r="F164" s="8" t="str">
        <f t="array" ref="F164">IF(D164="","",IFERROR(INDEX('Chart of Accounts'!$D:$D,MATCH(D164,'Chart of Accounts'!$A:$A,0)),""))</f>
        <v/>
      </c>
      <c r="G164" s="19"/>
      <c r="H164" s="19"/>
      <c r="I164" s="19"/>
      <c r="J164" s="19"/>
    </row>
    <row r="165" ht="15.75" customHeight="1">
      <c r="A165" s="8" t="str">
        <f t="shared" si="1"/>
        <v/>
      </c>
      <c r="B165" s="19"/>
      <c r="C165" s="19"/>
      <c r="D165" s="19"/>
      <c r="E165" s="8" t="str">
        <f t="array" ref="E165">IF(D165="","",IFERROR(INDEX('Chart of Accounts'!$B:$B,MATCH(D165,'Chart of Accounts'!$A:$A,0)),""))</f>
        <v/>
      </c>
      <c r="F165" s="8" t="str">
        <f t="array" ref="F165">IF(D165="","",IFERROR(INDEX('Chart of Accounts'!$D:$D,MATCH(D165,'Chart of Accounts'!$A:$A,0)),""))</f>
        <v/>
      </c>
      <c r="G165" s="19"/>
      <c r="H165" s="19"/>
      <c r="I165" s="19"/>
      <c r="J165" s="19"/>
    </row>
    <row r="166" ht="15.75" customHeight="1">
      <c r="A166" s="8" t="str">
        <f t="shared" si="1"/>
        <v/>
      </c>
      <c r="B166" s="19"/>
      <c r="C166" s="19"/>
      <c r="D166" s="19"/>
      <c r="E166" s="8" t="str">
        <f t="array" ref="E166">IF(D166="","",IFERROR(INDEX('Chart of Accounts'!$B:$B,MATCH(D166,'Chart of Accounts'!$A:$A,0)),""))</f>
        <v/>
      </c>
      <c r="F166" s="8" t="str">
        <f t="array" ref="F166">IF(D166="","",IFERROR(INDEX('Chart of Accounts'!$D:$D,MATCH(D166,'Chart of Accounts'!$A:$A,0)),""))</f>
        <v/>
      </c>
      <c r="G166" s="19"/>
      <c r="H166" s="19"/>
      <c r="I166" s="19"/>
      <c r="J166" s="19"/>
    </row>
    <row r="167" ht="15.75" customHeight="1">
      <c r="A167" s="8" t="str">
        <f t="shared" si="1"/>
        <v/>
      </c>
      <c r="B167" s="19"/>
      <c r="C167" s="19"/>
      <c r="D167" s="19"/>
      <c r="E167" s="8" t="str">
        <f t="array" ref="E167">IF(D167="","",IFERROR(INDEX('Chart of Accounts'!$B:$B,MATCH(D167,'Chart of Accounts'!$A:$A,0)),""))</f>
        <v/>
      </c>
      <c r="F167" s="8" t="str">
        <f t="array" ref="F167">IF(D167="","",IFERROR(INDEX('Chart of Accounts'!$D:$D,MATCH(D167,'Chart of Accounts'!$A:$A,0)),""))</f>
        <v/>
      </c>
      <c r="G167" s="19"/>
      <c r="H167" s="19"/>
      <c r="I167" s="19"/>
      <c r="J167" s="19"/>
    </row>
    <row r="168" ht="15.75" customHeight="1">
      <c r="A168" s="8" t="str">
        <f t="shared" si="1"/>
        <v/>
      </c>
      <c r="B168" s="19"/>
      <c r="C168" s="19"/>
      <c r="D168" s="19"/>
      <c r="E168" s="8" t="str">
        <f t="array" ref="E168">IF(D168="","",IFERROR(INDEX('Chart of Accounts'!$B:$B,MATCH(D168,'Chart of Accounts'!$A:$A,0)),""))</f>
        <v/>
      </c>
      <c r="F168" s="8" t="str">
        <f t="array" ref="F168">IF(D168="","",IFERROR(INDEX('Chart of Accounts'!$D:$D,MATCH(D168,'Chart of Accounts'!$A:$A,0)),""))</f>
        <v/>
      </c>
      <c r="G168" s="19"/>
      <c r="H168" s="19"/>
      <c r="I168" s="19"/>
      <c r="J168" s="19"/>
    </row>
    <row r="169" ht="15.75" customHeight="1">
      <c r="A169" s="8" t="str">
        <f t="shared" si="1"/>
        <v/>
      </c>
      <c r="B169" s="19"/>
      <c r="C169" s="19"/>
      <c r="D169" s="19"/>
      <c r="E169" s="8" t="str">
        <f t="array" ref="E169">IF(D169="","",IFERROR(INDEX('Chart of Accounts'!$B:$B,MATCH(D169,'Chart of Accounts'!$A:$A,0)),""))</f>
        <v/>
      </c>
      <c r="F169" s="8" t="str">
        <f t="array" ref="F169">IF(D169="","",IFERROR(INDEX('Chart of Accounts'!$D:$D,MATCH(D169,'Chart of Accounts'!$A:$A,0)),""))</f>
        <v/>
      </c>
      <c r="G169" s="19"/>
      <c r="H169" s="19"/>
      <c r="I169" s="19"/>
      <c r="J169" s="19"/>
    </row>
    <row r="170" ht="15.75" customHeight="1">
      <c r="A170" s="8" t="str">
        <f t="shared" si="1"/>
        <v/>
      </c>
      <c r="B170" s="19"/>
      <c r="C170" s="19"/>
      <c r="D170" s="19"/>
      <c r="E170" s="8" t="str">
        <f t="array" ref="E170">IF(D170="","",IFERROR(INDEX('Chart of Accounts'!$B:$B,MATCH(D170,'Chart of Accounts'!$A:$A,0)),""))</f>
        <v/>
      </c>
      <c r="F170" s="8" t="str">
        <f t="array" ref="F170">IF(D170="","",IFERROR(INDEX('Chart of Accounts'!$D:$D,MATCH(D170,'Chart of Accounts'!$A:$A,0)),""))</f>
        <v/>
      </c>
      <c r="G170" s="19"/>
      <c r="H170" s="19"/>
      <c r="I170" s="19"/>
      <c r="J170" s="19"/>
    </row>
    <row r="171" ht="15.75" customHeight="1">
      <c r="A171" s="8" t="str">
        <f t="shared" si="1"/>
        <v/>
      </c>
      <c r="B171" s="19"/>
      <c r="C171" s="19"/>
      <c r="D171" s="19"/>
      <c r="E171" s="8" t="str">
        <f t="array" ref="E171">IF(D171="","",IFERROR(INDEX('Chart of Accounts'!$B:$B,MATCH(D171,'Chart of Accounts'!$A:$A,0)),""))</f>
        <v/>
      </c>
      <c r="F171" s="8" t="str">
        <f t="array" ref="F171">IF(D171="","",IFERROR(INDEX('Chart of Accounts'!$D:$D,MATCH(D171,'Chart of Accounts'!$A:$A,0)),""))</f>
        <v/>
      </c>
      <c r="G171" s="19"/>
      <c r="H171" s="19"/>
      <c r="I171" s="19"/>
      <c r="J171" s="19"/>
    </row>
    <row r="172" ht="15.75" customHeight="1">
      <c r="A172" s="8" t="str">
        <f t="shared" si="1"/>
        <v/>
      </c>
      <c r="B172" s="19"/>
      <c r="C172" s="19"/>
      <c r="D172" s="19"/>
      <c r="E172" s="8" t="str">
        <f t="array" ref="E172">IF(D172="","",IFERROR(INDEX('Chart of Accounts'!$B:$B,MATCH(D172,'Chart of Accounts'!$A:$A,0)),""))</f>
        <v/>
      </c>
      <c r="F172" s="8" t="str">
        <f t="array" ref="F172">IF(D172="","",IFERROR(INDEX('Chart of Accounts'!$D:$D,MATCH(D172,'Chart of Accounts'!$A:$A,0)),""))</f>
        <v/>
      </c>
      <c r="G172" s="19"/>
      <c r="H172" s="19"/>
      <c r="I172" s="19"/>
      <c r="J172" s="19"/>
    </row>
    <row r="173" ht="15.75" customHeight="1">
      <c r="A173" s="8" t="str">
        <f t="shared" si="1"/>
        <v/>
      </c>
      <c r="B173" s="19"/>
      <c r="C173" s="19"/>
      <c r="D173" s="19"/>
      <c r="E173" s="8" t="str">
        <f t="array" ref="E173">IF(D173="","",IFERROR(INDEX('Chart of Accounts'!$B:$B,MATCH(D173,'Chart of Accounts'!$A:$A,0)),""))</f>
        <v/>
      </c>
      <c r="F173" s="8" t="str">
        <f t="array" ref="F173">IF(D173="","",IFERROR(INDEX('Chart of Accounts'!$D:$D,MATCH(D173,'Chart of Accounts'!$A:$A,0)),""))</f>
        <v/>
      </c>
      <c r="G173" s="19"/>
      <c r="H173" s="19"/>
      <c r="I173" s="19"/>
      <c r="J173" s="19"/>
    </row>
    <row r="174" ht="15.75" customHeight="1">
      <c r="A174" s="8" t="str">
        <f t="shared" si="1"/>
        <v/>
      </c>
      <c r="B174" s="19"/>
      <c r="C174" s="19"/>
      <c r="D174" s="19"/>
      <c r="E174" s="8" t="str">
        <f t="array" ref="E174">IF(D174="","",IFERROR(INDEX('Chart of Accounts'!$B:$B,MATCH(D174,'Chart of Accounts'!$A:$A,0)),""))</f>
        <v/>
      </c>
      <c r="F174" s="8" t="str">
        <f t="array" ref="F174">IF(D174="","",IFERROR(INDEX('Chart of Accounts'!$D:$D,MATCH(D174,'Chart of Accounts'!$A:$A,0)),""))</f>
        <v/>
      </c>
      <c r="G174" s="19"/>
      <c r="H174" s="19"/>
      <c r="I174" s="19"/>
      <c r="J174" s="19"/>
    </row>
    <row r="175" ht="15.75" customHeight="1">
      <c r="A175" s="8" t="str">
        <f t="shared" si="1"/>
        <v/>
      </c>
      <c r="B175" s="19"/>
      <c r="C175" s="19"/>
      <c r="D175" s="19"/>
      <c r="E175" s="8" t="str">
        <f t="array" ref="E175">IF(D175="","",IFERROR(INDEX('Chart of Accounts'!$B:$B,MATCH(D175,'Chart of Accounts'!$A:$A,0)),""))</f>
        <v/>
      </c>
      <c r="F175" s="8" t="str">
        <f t="array" ref="F175">IF(D175="","",IFERROR(INDEX('Chart of Accounts'!$D:$D,MATCH(D175,'Chart of Accounts'!$A:$A,0)),""))</f>
        <v/>
      </c>
      <c r="G175" s="19"/>
      <c r="H175" s="19"/>
      <c r="I175" s="19"/>
      <c r="J175" s="19"/>
    </row>
    <row r="176" ht="15.75" customHeight="1">
      <c r="A176" s="8" t="str">
        <f t="shared" si="1"/>
        <v/>
      </c>
      <c r="B176" s="19"/>
      <c r="C176" s="19"/>
      <c r="D176" s="19"/>
      <c r="E176" s="8" t="str">
        <f t="array" ref="E176">IF(D176="","",IFERROR(INDEX('Chart of Accounts'!$B:$B,MATCH(D176,'Chart of Accounts'!$A:$A,0)),""))</f>
        <v/>
      </c>
      <c r="F176" s="8" t="str">
        <f t="array" ref="F176">IF(D176="","",IFERROR(INDEX('Chart of Accounts'!$D:$D,MATCH(D176,'Chart of Accounts'!$A:$A,0)),""))</f>
        <v/>
      </c>
      <c r="G176" s="19"/>
      <c r="H176" s="19"/>
      <c r="I176" s="19"/>
      <c r="J176" s="19"/>
    </row>
    <row r="177" ht="15.75" customHeight="1">
      <c r="A177" s="8" t="str">
        <f t="shared" si="1"/>
        <v/>
      </c>
      <c r="B177" s="19"/>
      <c r="C177" s="19"/>
      <c r="D177" s="19"/>
      <c r="E177" s="8" t="str">
        <f t="array" ref="E177">IF(D177="","",IFERROR(INDEX('Chart of Accounts'!$B:$B,MATCH(D177,'Chart of Accounts'!$A:$A,0)),""))</f>
        <v/>
      </c>
      <c r="F177" s="8" t="str">
        <f t="array" ref="F177">IF(D177="","",IFERROR(INDEX('Chart of Accounts'!$D:$D,MATCH(D177,'Chart of Accounts'!$A:$A,0)),""))</f>
        <v/>
      </c>
      <c r="G177" s="19"/>
      <c r="H177" s="19"/>
      <c r="I177" s="19"/>
      <c r="J177" s="19"/>
    </row>
    <row r="178" ht="15.75" customHeight="1">
      <c r="A178" s="8" t="str">
        <f t="shared" si="1"/>
        <v/>
      </c>
      <c r="B178" s="19"/>
      <c r="C178" s="19"/>
      <c r="D178" s="19"/>
      <c r="E178" s="8" t="str">
        <f t="array" ref="E178">IF(D178="","",IFERROR(INDEX('Chart of Accounts'!$B:$B,MATCH(D178,'Chart of Accounts'!$A:$A,0)),""))</f>
        <v/>
      </c>
      <c r="F178" s="8" t="str">
        <f t="array" ref="F178">IF(D178="","",IFERROR(INDEX('Chart of Accounts'!$D:$D,MATCH(D178,'Chart of Accounts'!$A:$A,0)),""))</f>
        <v/>
      </c>
      <c r="G178" s="19"/>
      <c r="H178" s="19"/>
      <c r="I178" s="19"/>
      <c r="J178" s="19"/>
    </row>
    <row r="179" ht="15.75" customHeight="1">
      <c r="A179" s="8" t="str">
        <f t="shared" si="1"/>
        <v/>
      </c>
      <c r="B179" s="19"/>
      <c r="C179" s="19"/>
      <c r="D179" s="19"/>
      <c r="E179" s="8" t="str">
        <f t="array" ref="E179">IF(D179="","",IFERROR(INDEX('Chart of Accounts'!$B:$B,MATCH(D179,'Chart of Accounts'!$A:$A,0)),""))</f>
        <v/>
      </c>
      <c r="F179" s="8" t="str">
        <f t="array" ref="F179">IF(D179="","",IFERROR(INDEX('Chart of Accounts'!$D:$D,MATCH(D179,'Chart of Accounts'!$A:$A,0)),""))</f>
        <v/>
      </c>
      <c r="G179" s="19"/>
      <c r="H179" s="19"/>
      <c r="I179" s="19"/>
      <c r="J179" s="19"/>
    </row>
    <row r="180" ht="15.75" customHeight="1">
      <c r="A180" s="8" t="str">
        <f t="shared" si="1"/>
        <v/>
      </c>
      <c r="B180" s="19"/>
      <c r="C180" s="19"/>
      <c r="D180" s="19"/>
      <c r="E180" s="8" t="str">
        <f t="array" ref="E180">IF(D180="","",IFERROR(INDEX('Chart of Accounts'!$B:$B,MATCH(D180,'Chart of Accounts'!$A:$A,0)),""))</f>
        <v/>
      </c>
      <c r="F180" s="8" t="str">
        <f t="array" ref="F180">IF(D180="","",IFERROR(INDEX('Chart of Accounts'!$D:$D,MATCH(D180,'Chart of Accounts'!$A:$A,0)),""))</f>
        <v/>
      </c>
      <c r="G180" s="19"/>
      <c r="H180" s="19"/>
      <c r="I180" s="19"/>
      <c r="J180" s="19"/>
    </row>
    <row r="181" ht="15.75" customHeight="1">
      <c r="A181" s="8" t="str">
        <f t="shared" si="1"/>
        <v/>
      </c>
      <c r="B181" s="19"/>
      <c r="C181" s="19"/>
      <c r="D181" s="19"/>
      <c r="E181" s="8" t="str">
        <f t="array" ref="E181">IF(D181="","",IFERROR(INDEX('Chart of Accounts'!$B:$B,MATCH(D181,'Chart of Accounts'!$A:$A,0)),""))</f>
        <v/>
      </c>
      <c r="F181" s="8" t="str">
        <f t="array" ref="F181">IF(D181="","",IFERROR(INDEX('Chart of Accounts'!$D:$D,MATCH(D181,'Chart of Accounts'!$A:$A,0)),""))</f>
        <v/>
      </c>
      <c r="G181" s="19"/>
      <c r="H181" s="19"/>
      <c r="I181" s="19"/>
      <c r="J181" s="19"/>
    </row>
    <row r="182" ht="15.75" customHeight="1">
      <c r="A182" s="8" t="str">
        <f t="shared" si="1"/>
        <v/>
      </c>
      <c r="B182" s="19"/>
      <c r="C182" s="19"/>
      <c r="D182" s="19"/>
      <c r="E182" s="8" t="str">
        <f t="array" ref="E182">IF(D182="","",IFERROR(INDEX('Chart of Accounts'!$B:$B,MATCH(D182,'Chart of Accounts'!$A:$A,0)),""))</f>
        <v/>
      </c>
      <c r="F182" s="8" t="str">
        <f t="array" ref="F182">IF(D182="","",IFERROR(INDEX('Chart of Accounts'!$D:$D,MATCH(D182,'Chart of Accounts'!$A:$A,0)),""))</f>
        <v/>
      </c>
      <c r="G182" s="19"/>
      <c r="H182" s="19"/>
      <c r="I182" s="19"/>
      <c r="J182" s="19"/>
    </row>
    <row r="183" ht="15.75" customHeight="1">
      <c r="A183" s="8" t="str">
        <f t="shared" si="1"/>
        <v/>
      </c>
      <c r="B183" s="19"/>
      <c r="C183" s="19"/>
      <c r="D183" s="19"/>
      <c r="E183" s="8" t="str">
        <f t="array" ref="E183">IF(D183="","",IFERROR(INDEX('Chart of Accounts'!$B:$B,MATCH(D183,'Chart of Accounts'!$A:$A,0)),""))</f>
        <v/>
      </c>
      <c r="F183" s="8" t="str">
        <f t="array" ref="F183">IF(D183="","",IFERROR(INDEX('Chart of Accounts'!$D:$D,MATCH(D183,'Chart of Accounts'!$A:$A,0)),""))</f>
        <v/>
      </c>
      <c r="G183" s="19"/>
      <c r="H183" s="19"/>
      <c r="I183" s="19"/>
      <c r="J183" s="19"/>
    </row>
    <row r="184" ht="15.75" customHeight="1">
      <c r="A184" s="8" t="str">
        <f t="shared" si="1"/>
        <v/>
      </c>
      <c r="B184" s="19"/>
      <c r="C184" s="19"/>
      <c r="D184" s="19"/>
      <c r="E184" s="8" t="str">
        <f t="array" ref="E184">IF(D184="","",IFERROR(INDEX('Chart of Accounts'!$B:$B,MATCH(D184,'Chart of Accounts'!$A:$A,0)),""))</f>
        <v/>
      </c>
      <c r="F184" s="8" t="str">
        <f t="array" ref="F184">IF(D184="","",IFERROR(INDEX('Chart of Accounts'!$D:$D,MATCH(D184,'Chart of Accounts'!$A:$A,0)),""))</f>
        <v/>
      </c>
      <c r="G184" s="19"/>
      <c r="H184" s="19"/>
      <c r="I184" s="19"/>
      <c r="J184" s="19"/>
    </row>
    <row r="185" ht="15.75" customHeight="1">
      <c r="A185" s="8" t="str">
        <f t="shared" si="1"/>
        <v/>
      </c>
      <c r="B185" s="19"/>
      <c r="C185" s="19"/>
      <c r="D185" s="19"/>
      <c r="E185" s="8" t="str">
        <f t="array" ref="E185">IF(D185="","",IFERROR(INDEX('Chart of Accounts'!$B:$B,MATCH(D185,'Chart of Accounts'!$A:$A,0)),""))</f>
        <v/>
      </c>
      <c r="F185" s="8" t="str">
        <f t="array" ref="F185">IF(D185="","",IFERROR(INDEX('Chart of Accounts'!$D:$D,MATCH(D185,'Chart of Accounts'!$A:$A,0)),""))</f>
        <v/>
      </c>
      <c r="G185" s="19"/>
      <c r="H185" s="19"/>
      <c r="I185" s="19"/>
      <c r="J185" s="19"/>
    </row>
    <row r="186" ht="15.75" customHeight="1">
      <c r="A186" s="8" t="str">
        <f t="shared" si="1"/>
        <v/>
      </c>
      <c r="B186" s="19"/>
      <c r="C186" s="19"/>
      <c r="D186" s="19"/>
      <c r="E186" s="8" t="str">
        <f t="array" ref="E186">IF(D186="","",IFERROR(INDEX('Chart of Accounts'!$B:$B,MATCH(D186,'Chart of Accounts'!$A:$A,0)),""))</f>
        <v/>
      </c>
      <c r="F186" s="8" t="str">
        <f t="array" ref="F186">IF(D186="","",IFERROR(INDEX('Chart of Accounts'!$D:$D,MATCH(D186,'Chart of Accounts'!$A:$A,0)),""))</f>
        <v/>
      </c>
      <c r="G186" s="19"/>
      <c r="H186" s="19"/>
      <c r="I186" s="19"/>
      <c r="J186" s="19"/>
    </row>
    <row r="187" ht="15.75" customHeight="1">
      <c r="A187" s="8" t="str">
        <f t="shared" si="1"/>
        <v/>
      </c>
      <c r="B187" s="19"/>
      <c r="C187" s="19"/>
      <c r="D187" s="19"/>
      <c r="E187" s="8" t="str">
        <f t="array" ref="E187">IF(D187="","",IFERROR(INDEX('Chart of Accounts'!$B:$B,MATCH(D187,'Chart of Accounts'!$A:$A,0)),""))</f>
        <v/>
      </c>
      <c r="F187" s="8" t="str">
        <f t="array" ref="F187">IF(D187="","",IFERROR(INDEX('Chart of Accounts'!$D:$D,MATCH(D187,'Chart of Accounts'!$A:$A,0)),""))</f>
        <v/>
      </c>
      <c r="G187" s="19"/>
      <c r="H187" s="19"/>
      <c r="I187" s="19"/>
      <c r="J187" s="19"/>
    </row>
    <row r="188" ht="15.75" customHeight="1">
      <c r="A188" s="8" t="str">
        <f t="shared" si="1"/>
        <v/>
      </c>
      <c r="B188" s="19"/>
      <c r="C188" s="19"/>
      <c r="D188" s="19"/>
      <c r="E188" s="8" t="str">
        <f t="array" ref="E188">IF(D188="","",IFERROR(INDEX('Chart of Accounts'!$B:$B,MATCH(D188,'Chart of Accounts'!$A:$A,0)),""))</f>
        <v/>
      </c>
      <c r="F188" s="8" t="str">
        <f t="array" ref="F188">IF(D188="","",IFERROR(INDEX('Chart of Accounts'!$D:$D,MATCH(D188,'Chart of Accounts'!$A:$A,0)),""))</f>
        <v/>
      </c>
      <c r="G188" s="19"/>
      <c r="H188" s="19"/>
      <c r="I188" s="19"/>
      <c r="J188" s="19"/>
    </row>
    <row r="189" ht="15.75" customHeight="1">
      <c r="A189" s="8" t="str">
        <f t="shared" si="1"/>
        <v/>
      </c>
      <c r="B189" s="19"/>
      <c r="C189" s="19"/>
      <c r="D189" s="19"/>
      <c r="E189" s="8" t="str">
        <f t="array" ref="E189">IF(D189="","",IFERROR(INDEX('Chart of Accounts'!$B:$B,MATCH(D189,'Chart of Accounts'!$A:$A,0)),""))</f>
        <v/>
      </c>
      <c r="F189" s="8" t="str">
        <f t="array" ref="F189">IF(D189="","",IFERROR(INDEX('Chart of Accounts'!$D:$D,MATCH(D189,'Chart of Accounts'!$A:$A,0)),""))</f>
        <v/>
      </c>
      <c r="G189" s="19"/>
      <c r="H189" s="19"/>
      <c r="I189" s="19"/>
      <c r="J189" s="19"/>
    </row>
    <row r="190" ht="15.75" customHeight="1">
      <c r="A190" s="8" t="str">
        <f t="shared" si="1"/>
        <v/>
      </c>
      <c r="B190" s="19"/>
      <c r="C190" s="19"/>
      <c r="D190" s="19"/>
      <c r="E190" s="8" t="str">
        <f t="array" ref="E190">IF(D190="","",IFERROR(INDEX('Chart of Accounts'!$B:$B,MATCH(D190,'Chart of Accounts'!$A:$A,0)),""))</f>
        <v/>
      </c>
      <c r="F190" s="8" t="str">
        <f t="array" ref="F190">IF(D190="","",IFERROR(INDEX('Chart of Accounts'!$D:$D,MATCH(D190,'Chart of Accounts'!$A:$A,0)),""))</f>
        <v/>
      </c>
      <c r="G190" s="19"/>
      <c r="H190" s="19"/>
      <c r="I190" s="19"/>
      <c r="J190" s="19"/>
    </row>
    <row r="191" ht="15.75" customHeight="1">
      <c r="A191" s="8" t="str">
        <f t="shared" si="1"/>
        <v/>
      </c>
      <c r="B191" s="19"/>
      <c r="C191" s="19"/>
      <c r="D191" s="19"/>
      <c r="E191" s="8" t="str">
        <f t="array" ref="E191">IF(D191="","",IFERROR(INDEX('Chart of Accounts'!$B:$B,MATCH(D191,'Chart of Accounts'!$A:$A,0)),""))</f>
        <v/>
      </c>
      <c r="F191" s="8" t="str">
        <f t="array" ref="F191">IF(D191="","",IFERROR(INDEX('Chart of Accounts'!$D:$D,MATCH(D191,'Chart of Accounts'!$A:$A,0)),""))</f>
        <v/>
      </c>
      <c r="G191" s="19"/>
      <c r="H191" s="19"/>
      <c r="I191" s="19"/>
      <c r="J191" s="19"/>
    </row>
    <row r="192" ht="15.75" customHeight="1">
      <c r="A192" s="8" t="str">
        <f t="shared" si="1"/>
        <v/>
      </c>
      <c r="B192" s="19"/>
      <c r="C192" s="19"/>
      <c r="D192" s="19"/>
      <c r="E192" s="8" t="str">
        <f t="array" ref="E192">IF(D192="","",IFERROR(INDEX('Chart of Accounts'!$B:$B,MATCH(D192,'Chart of Accounts'!$A:$A,0)),""))</f>
        <v/>
      </c>
      <c r="F192" s="8" t="str">
        <f t="array" ref="F192">IF(D192="","",IFERROR(INDEX('Chart of Accounts'!$D:$D,MATCH(D192,'Chart of Accounts'!$A:$A,0)),""))</f>
        <v/>
      </c>
      <c r="G192" s="19"/>
      <c r="H192" s="19"/>
      <c r="I192" s="19"/>
      <c r="J192" s="19"/>
    </row>
    <row r="193" ht="15.75" customHeight="1">
      <c r="A193" s="8" t="str">
        <f t="shared" si="1"/>
        <v/>
      </c>
      <c r="B193" s="19"/>
      <c r="C193" s="19"/>
      <c r="D193" s="19"/>
      <c r="E193" s="8" t="str">
        <f t="array" ref="E193">IF(D193="","",IFERROR(INDEX('Chart of Accounts'!$B:$B,MATCH(D193,'Chart of Accounts'!$A:$A,0)),""))</f>
        <v/>
      </c>
      <c r="F193" s="8" t="str">
        <f t="array" ref="F193">IF(D193="","",IFERROR(INDEX('Chart of Accounts'!$D:$D,MATCH(D193,'Chart of Accounts'!$A:$A,0)),""))</f>
        <v/>
      </c>
      <c r="G193" s="19"/>
      <c r="H193" s="19"/>
      <c r="I193" s="19"/>
      <c r="J193" s="19"/>
    </row>
    <row r="194" ht="15.75" customHeight="1">
      <c r="A194" s="8" t="str">
        <f t="shared" si="1"/>
        <v/>
      </c>
      <c r="B194" s="19"/>
      <c r="C194" s="19"/>
      <c r="D194" s="19"/>
      <c r="E194" s="8" t="str">
        <f t="array" ref="E194">IF(D194="","",IFERROR(INDEX('Chart of Accounts'!$B:$B,MATCH(D194,'Chart of Accounts'!$A:$A,0)),""))</f>
        <v/>
      </c>
      <c r="F194" s="8" t="str">
        <f t="array" ref="F194">IF(D194="","",IFERROR(INDEX('Chart of Accounts'!$D:$D,MATCH(D194,'Chart of Accounts'!$A:$A,0)),""))</f>
        <v/>
      </c>
      <c r="G194" s="19"/>
      <c r="H194" s="19"/>
      <c r="I194" s="19"/>
      <c r="J194" s="19"/>
    </row>
    <row r="195" ht="15.75" customHeight="1">
      <c r="A195" s="8" t="str">
        <f t="shared" si="1"/>
        <v/>
      </c>
      <c r="B195" s="19"/>
      <c r="C195" s="19"/>
      <c r="D195" s="19"/>
      <c r="E195" s="8" t="str">
        <f t="array" ref="E195">IF(D195="","",IFERROR(INDEX('Chart of Accounts'!$B:$B,MATCH(D195,'Chart of Accounts'!$A:$A,0)),""))</f>
        <v/>
      </c>
      <c r="F195" s="8" t="str">
        <f t="array" ref="F195">IF(D195="","",IFERROR(INDEX('Chart of Accounts'!$D:$D,MATCH(D195,'Chart of Accounts'!$A:$A,0)),""))</f>
        <v/>
      </c>
      <c r="G195" s="19"/>
      <c r="H195" s="19"/>
      <c r="I195" s="19"/>
      <c r="J195" s="19"/>
    </row>
    <row r="196" ht="15.75" customHeight="1">
      <c r="A196" s="8" t="str">
        <f t="shared" si="1"/>
        <v/>
      </c>
      <c r="B196" s="19"/>
      <c r="C196" s="19"/>
      <c r="D196" s="19"/>
      <c r="E196" s="8" t="str">
        <f t="array" ref="E196">IF(D196="","",IFERROR(INDEX('Chart of Accounts'!$B:$B,MATCH(D196,'Chart of Accounts'!$A:$A,0)),""))</f>
        <v/>
      </c>
      <c r="F196" s="8" t="str">
        <f t="array" ref="F196">IF(D196="","",IFERROR(INDEX('Chart of Accounts'!$D:$D,MATCH(D196,'Chart of Accounts'!$A:$A,0)),""))</f>
        <v/>
      </c>
      <c r="G196" s="19"/>
      <c r="H196" s="19"/>
      <c r="I196" s="19"/>
      <c r="J196" s="19"/>
    </row>
    <row r="197" ht="15.75" customHeight="1">
      <c r="A197" s="8" t="str">
        <f t="shared" si="1"/>
        <v/>
      </c>
      <c r="B197" s="19"/>
      <c r="C197" s="19"/>
      <c r="D197" s="19"/>
      <c r="E197" s="8" t="str">
        <f t="array" ref="E197">IF(D197="","",IFERROR(INDEX('Chart of Accounts'!$B:$B,MATCH(D197,'Chart of Accounts'!$A:$A,0)),""))</f>
        <v/>
      </c>
      <c r="F197" s="8" t="str">
        <f t="array" ref="F197">IF(D197="","",IFERROR(INDEX('Chart of Accounts'!$D:$D,MATCH(D197,'Chart of Accounts'!$A:$A,0)),""))</f>
        <v/>
      </c>
      <c r="G197" s="19"/>
      <c r="H197" s="19"/>
      <c r="I197" s="19"/>
      <c r="J197" s="19"/>
    </row>
    <row r="198" ht="15.75" customHeight="1">
      <c r="A198" s="8" t="str">
        <f t="shared" si="1"/>
        <v/>
      </c>
      <c r="B198" s="19"/>
      <c r="C198" s="19"/>
      <c r="D198" s="19"/>
      <c r="E198" s="8" t="str">
        <f t="array" ref="E198">IF(D198="","",IFERROR(INDEX('Chart of Accounts'!$B:$B,MATCH(D198,'Chart of Accounts'!$A:$A,0)),""))</f>
        <v/>
      </c>
      <c r="F198" s="8" t="str">
        <f t="array" ref="F198">IF(D198="","",IFERROR(INDEX('Chart of Accounts'!$D:$D,MATCH(D198,'Chart of Accounts'!$A:$A,0)),""))</f>
        <v/>
      </c>
      <c r="G198" s="19"/>
      <c r="H198" s="19"/>
      <c r="I198" s="19"/>
      <c r="J198" s="19"/>
    </row>
    <row r="199" ht="15.75" customHeight="1">
      <c r="A199" s="8" t="str">
        <f t="shared" si="1"/>
        <v/>
      </c>
      <c r="B199" s="19"/>
      <c r="C199" s="19"/>
      <c r="D199" s="19"/>
      <c r="E199" s="8" t="str">
        <f t="array" ref="E199">IF(D199="","",IFERROR(INDEX('Chart of Accounts'!$B:$B,MATCH(D199,'Chart of Accounts'!$A:$A,0)),""))</f>
        <v/>
      </c>
      <c r="F199" s="8" t="str">
        <f t="array" ref="F199">IF(D199="","",IFERROR(INDEX('Chart of Accounts'!$D:$D,MATCH(D199,'Chart of Accounts'!$A:$A,0)),""))</f>
        <v/>
      </c>
      <c r="G199" s="19"/>
      <c r="H199" s="19"/>
      <c r="I199" s="19"/>
      <c r="J199" s="19"/>
    </row>
    <row r="200" ht="15.75" customHeight="1">
      <c r="A200" s="8" t="str">
        <f t="shared" si="1"/>
        <v/>
      </c>
      <c r="B200" s="19"/>
      <c r="C200" s="19"/>
      <c r="D200" s="19"/>
      <c r="E200" s="8" t="str">
        <f t="array" ref="E200">IF(D200="","",IFERROR(INDEX('Chart of Accounts'!$B:$B,MATCH(D200,'Chart of Accounts'!$A:$A,0)),""))</f>
        <v/>
      </c>
      <c r="F200" s="8" t="str">
        <f t="array" ref="F200">IF(D200="","",IFERROR(INDEX('Chart of Accounts'!$D:$D,MATCH(D200,'Chart of Accounts'!$A:$A,0)),""))</f>
        <v/>
      </c>
      <c r="G200" s="19"/>
      <c r="H200" s="19"/>
      <c r="I200" s="19"/>
      <c r="J200" s="19"/>
    </row>
    <row r="201" ht="15.75" customHeight="1">
      <c r="A201" s="8" t="str">
        <f t="shared" si="1"/>
        <v/>
      </c>
      <c r="B201" s="19"/>
      <c r="C201" s="19"/>
      <c r="D201" s="19"/>
      <c r="E201" s="8" t="str">
        <f t="array" ref="E201">IF(D201="","",IFERROR(INDEX('Chart of Accounts'!$B:$B,MATCH(D201,'Chart of Accounts'!$A:$A,0)),""))</f>
        <v/>
      </c>
      <c r="F201" s="8" t="str">
        <f t="array" ref="F201">IF(D201="","",IFERROR(INDEX('Chart of Accounts'!$D:$D,MATCH(D201,'Chart of Accounts'!$A:$A,0)),""))</f>
        <v/>
      </c>
      <c r="G201" s="19"/>
      <c r="H201" s="19"/>
      <c r="I201" s="19"/>
      <c r="J201" s="19"/>
    </row>
    <row r="202" ht="15.75" customHeight="1">
      <c r="A202" s="8" t="str">
        <f t="shared" si="1"/>
        <v/>
      </c>
      <c r="B202" s="19"/>
      <c r="C202" s="19"/>
      <c r="D202" s="19"/>
      <c r="E202" s="8" t="str">
        <f t="array" ref="E202">IF(D202="","",IFERROR(INDEX('Chart of Accounts'!$B:$B,MATCH(D202,'Chart of Accounts'!$A:$A,0)),""))</f>
        <v/>
      </c>
      <c r="F202" s="8" t="str">
        <f t="array" ref="F202">IF(D202="","",IFERROR(INDEX('Chart of Accounts'!$D:$D,MATCH(D202,'Chart of Accounts'!$A:$A,0)),""))</f>
        <v/>
      </c>
      <c r="G202" s="19"/>
      <c r="H202" s="19"/>
      <c r="I202" s="19"/>
      <c r="J202" s="19"/>
    </row>
    <row r="203" ht="15.75" customHeight="1">
      <c r="A203" s="8" t="str">
        <f t="shared" si="1"/>
        <v/>
      </c>
      <c r="B203" s="19"/>
      <c r="C203" s="19"/>
      <c r="D203" s="19"/>
      <c r="E203" s="8" t="str">
        <f t="array" ref="E203">IF(D203="","",IFERROR(INDEX('Chart of Accounts'!$B:$B,MATCH(D203,'Chart of Accounts'!$A:$A,0)),""))</f>
        <v/>
      </c>
      <c r="F203" s="8" t="str">
        <f t="array" ref="F203">IF(D203="","",IFERROR(INDEX('Chart of Accounts'!$D:$D,MATCH(D203,'Chart of Accounts'!$A:$A,0)),""))</f>
        <v/>
      </c>
      <c r="G203" s="19"/>
      <c r="H203" s="19"/>
      <c r="I203" s="19"/>
      <c r="J203" s="19"/>
    </row>
    <row r="204" ht="15.75" customHeight="1">
      <c r="A204" s="8" t="str">
        <f t="shared" si="1"/>
        <v/>
      </c>
      <c r="B204" s="19"/>
      <c r="C204" s="19"/>
      <c r="D204" s="19"/>
      <c r="E204" s="8" t="str">
        <f t="array" ref="E204">IF(D204="","",IFERROR(INDEX('Chart of Accounts'!$B:$B,MATCH(D204,'Chart of Accounts'!$A:$A,0)),""))</f>
        <v/>
      </c>
      <c r="F204" s="8" t="str">
        <f t="array" ref="F204">IF(D204="","",IFERROR(INDEX('Chart of Accounts'!$D:$D,MATCH(D204,'Chart of Accounts'!$A:$A,0)),""))</f>
        <v/>
      </c>
      <c r="G204" s="19"/>
      <c r="H204" s="19"/>
      <c r="I204" s="19"/>
      <c r="J204" s="19"/>
    </row>
    <row r="205" ht="15.75" customHeight="1">
      <c r="A205" s="8" t="str">
        <f t="shared" si="1"/>
        <v/>
      </c>
      <c r="B205" s="19"/>
      <c r="C205" s="19"/>
      <c r="D205" s="19"/>
      <c r="E205" s="8" t="str">
        <f t="array" ref="E205">IF(D205="","",IFERROR(INDEX('Chart of Accounts'!$B:$B,MATCH(D205,'Chart of Accounts'!$A:$A,0)),""))</f>
        <v/>
      </c>
      <c r="F205" s="8" t="str">
        <f t="array" ref="F205">IF(D205="","",IFERROR(INDEX('Chart of Accounts'!$D:$D,MATCH(D205,'Chart of Accounts'!$A:$A,0)),""))</f>
        <v/>
      </c>
      <c r="G205" s="19"/>
      <c r="H205" s="19"/>
      <c r="I205" s="19"/>
      <c r="J205" s="19"/>
    </row>
    <row r="206" ht="15.75" customHeight="1">
      <c r="A206" s="8" t="str">
        <f t="shared" si="1"/>
        <v/>
      </c>
      <c r="B206" s="19"/>
      <c r="C206" s="19"/>
      <c r="D206" s="19"/>
      <c r="E206" s="8" t="str">
        <f t="array" ref="E206">IF(D206="","",IFERROR(INDEX('Chart of Accounts'!$B:$B,MATCH(D206,'Chart of Accounts'!$A:$A,0)),""))</f>
        <v/>
      </c>
      <c r="F206" s="8" t="str">
        <f t="array" ref="F206">IF(D206="","",IFERROR(INDEX('Chart of Accounts'!$D:$D,MATCH(D206,'Chart of Accounts'!$A:$A,0)),""))</f>
        <v/>
      </c>
      <c r="G206" s="19"/>
      <c r="H206" s="19"/>
      <c r="I206" s="19"/>
      <c r="J206" s="19"/>
    </row>
    <row r="207" ht="15.75" customHeight="1">
      <c r="A207" s="8" t="str">
        <f t="shared" si="1"/>
        <v/>
      </c>
      <c r="B207" s="19"/>
      <c r="C207" s="19"/>
      <c r="D207" s="19"/>
      <c r="E207" s="8" t="str">
        <f t="array" ref="E207">IF(D207="","",IFERROR(INDEX('Chart of Accounts'!$B:$B,MATCH(D207,'Chart of Accounts'!$A:$A,0)),""))</f>
        <v/>
      </c>
      <c r="F207" s="8" t="str">
        <f t="array" ref="F207">IF(D207="","",IFERROR(INDEX('Chart of Accounts'!$D:$D,MATCH(D207,'Chart of Accounts'!$A:$A,0)),""))</f>
        <v/>
      </c>
      <c r="G207" s="19"/>
      <c r="H207" s="19"/>
      <c r="I207" s="19"/>
      <c r="J207" s="19"/>
    </row>
    <row r="208" ht="15.75" customHeight="1">
      <c r="A208" s="8" t="str">
        <f t="shared" si="1"/>
        <v/>
      </c>
      <c r="B208" s="19"/>
      <c r="C208" s="19"/>
      <c r="D208" s="19"/>
      <c r="E208" s="8" t="str">
        <f t="array" ref="E208">IF(D208="","",IFERROR(INDEX('Chart of Accounts'!$B:$B,MATCH(D208,'Chart of Accounts'!$A:$A,0)),""))</f>
        <v/>
      </c>
      <c r="F208" s="8" t="str">
        <f t="array" ref="F208">IF(D208="","",IFERROR(INDEX('Chart of Accounts'!$D:$D,MATCH(D208,'Chart of Accounts'!$A:$A,0)),""))</f>
        <v/>
      </c>
      <c r="G208" s="19"/>
      <c r="H208" s="19"/>
      <c r="I208" s="19"/>
      <c r="J208" s="19"/>
    </row>
    <row r="209" ht="15.75" customHeight="1">
      <c r="A209" s="8" t="str">
        <f t="shared" si="1"/>
        <v/>
      </c>
      <c r="B209" s="19"/>
      <c r="C209" s="19"/>
      <c r="D209" s="19"/>
      <c r="E209" s="8" t="str">
        <f t="array" ref="E209">IF(D209="","",IFERROR(INDEX('Chart of Accounts'!$B:$B,MATCH(D209,'Chart of Accounts'!$A:$A,0)),""))</f>
        <v/>
      </c>
      <c r="F209" s="8" t="str">
        <f t="array" ref="F209">IF(D209="","",IFERROR(INDEX('Chart of Accounts'!$D:$D,MATCH(D209,'Chart of Accounts'!$A:$A,0)),""))</f>
        <v/>
      </c>
      <c r="G209" s="19"/>
      <c r="H209" s="19"/>
      <c r="I209" s="19"/>
      <c r="J209" s="19"/>
    </row>
    <row r="210" ht="15.75" customHeight="1">
      <c r="A210" s="8" t="str">
        <f t="shared" si="1"/>
        <v/>
      </c>
      <c r="B210" s="19"/>
      <c r="C210" s="19"/>
      <c r="D210" s="19"/>
      <c r="E210" s="8" t="str">
        <f t="array" ref="E210">IF(D210="","",IFERROR(INDEX('Chart of Accounts'!$B:$B,MATCH(D210,'Chart of Accounts'!$A:$A,0)),""))</f>
        <v/>
      </c>
      <c r="F210" s="8" t="str">
        <f t="array" ref="F210">IF(D210="","",IFERROR(INDEX('Chart of Accounts'!$D:$D,MATCH(D210,'Chart of Accounts'!$A:$A,0)),""))</f>
        <v/>
      </c>
      <c r="G210" s="19"/>
      <c r="H210" s="19"/>
      <c r="I210" s="19"/>
      <c r="J210" s="19"/>
    </row>
    <row r="211" ht="15.75" customHeight="1">
      <c r="A211" s="8" t="str">
        <f t="shared" si="1"/>
        <v/>
      </c>
      <c r="B211" s="19"/>
      <c r="C211" s="19"/>
      <c r="D211" s="19"/>
      <c r="E211" s="8" t="str">
        <f t="array" ref="E211">IF(D211="","",IFERROR(INDEX('Chart of Accounts'!$B:$B,MATCH(D211,'Chart of Accounts'!$A:$A,0)),""))</f>
        <v/>
      </c>
      <c r="F211" s="8" t="str">
        <f t="array" ref="F211">IF(D211="","",IFERROR(INDEX('Chart of Accounts'!$D:$D,MATCH(D211,'Chart of Accounts'!$A:$A,0)),""))</f>
        <v/>
      </c>
      <c r="G211" s="19"/>
      <c r="H211" s="19"/>
      <c r="I211" s="19"/>
      <c r="J211" s="19"/>
    </row>
    <row r="212" ht="15.75" customHeight="1">
      <c r="A212" s="8" t="str">
        <f t="shared" si="1"/>
        <v/>
      </c>
      <c r="B212" s="19"/>
      <c r="C212" s="19"/>
      <c r="D212" s="19"/>
      <c r="E212" s="8" t="str">
        <f t="array" ref="E212">IF(D212="","",IFERROR(INDEX('Chart of Accounts'!$B:$B,MATCH(D212,'Chart of Accounts'!$A:$A,0)),""))</f>
        <v/>
      </c>
      <c r="F212" s="8" t="str">
        <f t="array" ref="F212">IF(D212="","",IFERROR(INDEX('Chart of Accounts'!$D:$D,MATCH(D212,'Chart of Accounts'!$A:$A,0)),""))</f>
        <v/>
      </c>
      <c r="G212" s="19"/>
      <c r="H212" s="19"/>
      <c r="I212" s="19"/>
      <c r="J212" s="19"/>
    </row>
    <row r="213" ht="15.75" customHeight="1">
      <c r="A213" s="8" t="str">
        <f t="shared" si="1"/>
        <v/>
      </c>
      <c r="B213" s="19"/>
      <c r="C213" s="19"/>
      <c r="D213" s="19"/>
      <c r="E213" s="8" t="str">
        <f t="array" ref="E213">IF(D213="","",IFERROR(INDEX('Chart of Accounts'!$B:$B,MATCH(D213,'Chart of Accounts'!$A:$A,0)),""))</f>
        <v/>
      </c>
      <c r="F213" s="8" t="str">
        <f t="array" ref="F213">IF(D213="","",IFERROR(INDEX('Chart of Accounts'!$D:$D,MATCH(D213,'Chart of Accounts'!$A:$A,0)),""))</f>
        <v/>
      </c>
      <c r="G213" s="19"/>
      <c r="H213" s="19"/>
      <c r="I213" s="19"/>
      <c r="J213" s="19"/>
    </row>
    <row r="214" ht="15.75" customHeight="1">
      <c r="A214" s="8" t="str">
        <f t="shared" si="1"/>
        <v/>
      </c>
      <c r="B214" s="19"/>
      <c r="C214" s="19"/>
      <c r="D214" s="19"/>
      <c r="E214" s="8" t="str">
        <f t="array" ref="E214">IF(D214="","",IFERROR(INDEX('Chart of Accounts'!$B:$B,MATCH(D214,'Chart of Accounts'!$A:$A,0)),""))</f>
        <v/>
      </c>
      <c r="F214" s="8" t="str">
        <f t="array" ref="F214">IF(D214="","",IFERROR(INDEX('Chart of Accounts'!$D:$D,MATCH(D214,'Chart of Accounts'!$A:$A,0)),""))</f>
        <v/>
      </c>
      <c r="G214" s="19"/>
      <c r="H214" s="19"/>
      <c r="I214" s="19"/>
      <c r="J214" s="19"/>
    </row>
    <row r="215" ht="15.75" customHeight="1">
      <c r="A215" s="8" t="str">
        <f t="shared" si="1"/>
        <v/>
      </c>
      <c r="B215" s="19"/>
      <c r="C215" s="19"/>
      <c r="D215" s="19"/>
      <c r="E215" s="8" t="str">
        <f t="array" ref="E215">IF(D215="","",IFERROR(INDEX('Chart of Accounts'!$B:$B,MATCH(D215,'Chart of Accounts'!$A:$A,0)),""))</f>
        <v/>
      </c>
      <c r="F215" s="8" t="str">
        <f t="array" ref="F215">IF(D215="","",IFERROR(INDEX('Chart of Accounts'!$D:$D,MATCH(D215,'Chart of Accounts'!$A:$A,0)),""))</f>
        <v/>
      </c>
      <c r="G215" s="19"/>
      <c r="H215" s="19"/>
      <c r="I215" s="19"/>
      <c r="J215" s="19"/>
    </row>
    <row r="216" ht="15.75" customHeight="1">
      <c r="A216" s="8" t="str">
        <f t="shared" si="1"/>
        <v/>
      </c>
      <c r="B216" s="19"/>
      <c r="C216" s="19"/>
      <c r="D216" s="19"/>
      <c r="E216" s="8" t="str">
        <f t="array" ref="E216">IF(D216="","",IFERROR(INDEX('Chart of Accounts'!$B:$B,MATCH(D216,'Chart of Accounts'!$A:$A,0)),""))</f>
        <v/>
      </c>
      <c r="F216" s="8" t="str">
        <f t="array" ref="F216">IF(D216="","",IFERROR(INDEX('Chart of Accounts'!$D:$D,MATCH(D216,'Chart of Accounts'!$A:$A,0)),""))</f>
        <v/>
      </c>
      <c r="G216" s="19"/>
      <c r="H216" s="19"/>
      <c r="I216" s="19"/>
      <c r="J216" s="19"/>
    </row>
    <row r="217" ht="15.75" customHeight="1">
      <c r="A217" s="8" t="str">
        <f t="shared" si="1"/>
        <v/>
      </c>
      <c r="B217" s="19"/>
      <c r="C217" s="19"/>
      <c r="D217" s="19"/>
      <c r="E217" s="8" t="str">
        <f t="array" ref="E217">IF(D217="","",IFERROR(INDEX('Chart of Accounts'!$B:$B,MATCH(D217,'Chart of Accounts'!$A:$A,0)),""))</f>
        <v/>
      </c>
      <c r="F217" s="8" t="str">
        <f t="array" ref="F217">IF(D217="","",IFERROR(INDEX('Chart of Accounts'!$D:$D,MATCH(D217,'Chart of Accounts'!$A:$A,0)),""))</f>
        <v/>
      </c>
      <c r="G217" s="19"/>
      <c r="H217" s="19"/>
      <c r="I217" s="19"/>
      <c r="J217" s="19"/>
    </row>
    <row r="218" ht="15.75" customHeight="1">
      <c r="A218" s="8" t="str">
        <f t="shared" si="1"/>
        <v/>
      </c>
      <c r="B218" s="19"/>
      <c r="C218" s="19"/>
      <c r="D218" s="19"/>
      <c r="E218" s="8" t="str">
        <f t="array" ref="E218">IF(D218="","",IFERROR(INDEX('Chart of Accounts'!$B:$B,MATCH(D218,'Chart of Accounts'!$A:$A,0)),""))</f>
        <v/>
      </c>
      <c r="F218" s="8" t="str">
        <f t="array" ref="F218">IF(D218="","",IFERROR(INDEX('Chart of Accounts'!$D:$D,MATCH(D218,'Chart of Accounts'!$A:$A,0)),""))</f>
        <v/>
      </c>
      <c r="G218" s="19"/>
      <c r="H218" s="19"/>
      <c r="I218" s="19"/>
      <c r="J218" s="19"/>
    </row>
    <row r="219" ht="15.75" customHeight="1">
      <c r="A219" s="8" t="str">
        <f t="shared" si="1"/>
        <v/>
      </c>
      <c r="B219" s="19"/>
      <c r="C219" s="19"/>
      <c r="D219" s="19"/>
      <c r="E219" s="8" t="str">
        <f t="array" ref="E219">IF(D219="","",IFERROR(INDEX('Chart of Accounts'!$B:$B,MATCH(D219,'Chart of Accounts'!$A:$A,0)),""))</f>
        <v/>
      </c>
      <c r="F219" s="8" t="str">
        <f t="array" ref="F219">IF(D219="","",IFERROR(INDEX('Chart of Accounts'!$D:$D,MATCH(D219,'Chart of Accounts'!$A:$A,0)),""))</f>
        <v/>
      </c>
      <c r="G219" s="19"/>
      <c r="H219" s="19"/>
      <c r="I219" s="19"/>
      <c r="J219" s="19"/>
    </row>
    <row r="220" ht="15.75" customHeight="1">
      <c r="A220" s="8" t="str">
        <f t="shared" si="1"/>
        <v/>
      </c>
      <c r="B220" s="19"/>
      <c r="C220" s="19"/>
      <c r="D220" s="19"/>
      <c r="E220" s="8" t="str">
        <f t="array" ref="E220">IF(D220="","",IFERROR(INDEX('Chart of Accounts'!$B:$B,MATCH(D220,'Chart of Accounts'!$A:$A,0)),""))</f>
        <v/>
      </c>
      <c r="F220" s="8" t="str">
        <f t="array" ref="F220">IF(D220="","",IFERROR(INDEX('Chart of Accounts'!$D:$D,MATCH(D220,'Chart of Accounts'!$A:$A,0)),""))</f>
        <v/>
      </c>
      <c r="G220" s="19"/>
      <c r="H220" s="19"/>
      <c r="I220" s="19"/>
      <c r="J220" s="19"/>
    </row>
    <row r="221" ht="15.75" customHeight="1">
      <c r="A221" s="8" t="str">
        <f t="shared" si="1"/>
        <v/>
      </c>
      <c r="B221" s="19"/>
      <c r="C221" s="19"/>
      <c r="D221" s="19"/>
      <c r="E221" s="8" t="str">
        <f t="array" ref="E221">IF(D221="","",IFERROR(INDEX('Chart of Accounts'!$B:$B,MATCH(D221,'Chart of Accounts'!$A:$A,0)),""))</f>
        <v/>
      </c>
      <c r="F221" s="8" t="str">
        <f t="array" ref="F221">IF(D221="","",IFERROR(INDEX('Chart of Accounts'!$D:$D,MATCH(D221,'Chart of Accounts'!$A:$A,0)),""))</f>
        <v/>
      </c>
      <c r="G221" s="19"/>
      <c r="H221" s="19"/>
      <c r="I221" s="19"/>
      <c r="J221" s="19"/>
    </row>
    <row r="222" ht="15.75" customHeight="1">
      <c r="A222" s="8" t="str">
        <f t="shared" si="1"/>
        <v/>
      </c>
      <c r="B222" s="19"/>
      <c r="C222" s="19"/>
      <c r="D222" s="19"/>
      <c r="E222" s="8" t="str">
        <f t="array" ref="E222">IF(D222="","",IFERROR(INDEX('Chart of Accounts'!$B:$B,MATCH(D222,'Chart of Accounts'!$A:$A,0)),""))</f>
        <v/>
      </c>
      <c r="F222" s="8" t="str">
        <f t="array" ref="F222">IF(D222="","",IFERROR(INDEX('Chart of Accounts'!$D:$D,MATCH(D222,'Chart of Accounts'!$A:$A,0)),""))</f>
        <v/>
      </c>
      <c r="G222" s="19"/>
      <c r="H222" s="19"/>
      <c r="I222" s="19"/>
      <c r="J222" s="19"/>
    </row>
    <row r="223" ht="15.75" customHeight="1">
      <c r="A223" s="8" t="str">
        <f t="shared" si="1"/>
        <v/>
      </c>
      <c r="B223" s="19"/>
      <c r="C223" s="19"/>
      <c r="D223" s="19"/>
      <c r="E223" s="8" t="str">
        <f t="array" ref="E223">IF(D223="","",IFERROR(INDEX('Chart of Accounts'!$B:$B,MATCH(D223,'Chart of Accounts'!$A:$A,0)),""))</f>
        <v/>
      </c>
      <c r="F223" s="8" t="str">
        <f t="array" ref="F223">IF(D223="","",IFERROR(INDEX('Chart of Accounts'!$D:$D,MATCH(D223,'Chart of Accounts'!$A:$A,0)),""))</f>
        <v/>
      </c>
      <c r="G223" s="19"/>
      <c r="H223" s="19"/>
      <c r="I223" s="19"/>
      <c r="J223" s="19"/>
    </row>
    <row r="224" ht="15.75" customHeight="1">
      <c r="A224" s="8" t="str">
        <f t="shared" si="1"/>
        <v/>
      </c>
      <c r="B224" s="19"/>
      <c r="C224" s="19"/>
      <c r="D224" s="19"/>
      <c r="E224" s="8" t="str">
        <f t="array" ref="E224">IF(D224="","",IFERROR(INDEX('Chart of Accounts'!$B:$B,MATCH(D224,'Chart of Accounts'!$A:$A,0)),""))</f>
        <v/>
      </c>
      <c r="F224" s="8" t="str">
        <f t="array" ref="F224">IF(D224="","",IFERROR(INDEX('Chart of Accounts'!$D:$D,MATCH(D224,'Chart of Accounts'!$A:$A,0)),""))</f>
        <v/>
      </c>
      <c r="G224" s="19"/>
      <c r="H224" s="19"/>
      <c r="I224" s="19"/>
      <c r="J224" s="19"/>
    </row>
    <row r="225" ht="15.75" customHeight="1">
      <c r="A225" s="8" t="str">
        <f t="shared" si="1"/>
        <v/>
      </c>
      <c r="B225" s="19"/>
      <c r="C225" s="19"/>
      <c r="D225" s="19"/>
      <c r="E225" s="8" t="str">
        <f t="array" ref="E225">IF(D225="","",IFERROR(INDEX('Chart of Accounts'!$B:$B,MATCH(D225,'Chart of Accounts'!$A:$A,0)),""))</f>
        <v/>
      </c>
      <c r="F225" s="8" t="str">
        <f t="array" ref="F225">IF(D225="","",IFERROR(INDEX('Chart of Accounts'!$D:$D,MATCH(D225,'Chart of Accounts'!$A:$A,0)),""))</f>
        <v/>
      </c>
      <c r="G225" s="19"/>
      <c r="H225" s="19"/>
      <c r="I225" s="19"/>
      <c r="J225" s="19"/>
    </row>
    <row r="226" ht="15.75" customHeight="1">
      <c r="A226" s="8" t="str">
        <f t="shared" si="1"/>
        <v/>
      </c>
      <c r="B226" s="19"/>
      <c r="C226" s="19"/>
      <c r="D226" s="19"/>
      <c r="E226" s="8" t="str">
        <f t="array" ref="E226">IF(D226="","",IFERROR(INDEX('Chart of Accounts'!$B:$B,MATCH(D226,'Chart of Accounts'!$A:$A,0)),""))</f>
        <v/>
      </c>
      <c r="F226" s="8" t="str">
        <f t="array" ref="F226">IF(D226="","",IFERROR(INDEX('Chart of Accounts'!$D:$D,MATCH(D226,'Chart of Accounts'!$A:$A,0)),""))</f>
        <v/>
      </c>
      <c r="G226" s="19"/>
      <c r="H226" s="19"/>
      <c r="I226" s="19"/>
      <c r="J226" s="19"/>
    </row>
    <row r="227" ht="15.75" customHeight="1">
      <c r="A227" s="8" t="str">
        <f t="shared" si="1"/>
        <v/>
      </c>
      <c r="B227" s="19"/>
      <c r="C227" s="19"/>
      <c r="D227" s="19"/>
      <c r="E227" s="8" t="str">
        <f t="array" ref="E227">IF(D227="","",IFERROR(INDEX('Chart of Accounts'!$B:$B,MATCH(D227,'Chart of Accounts'!$A:$A,0)),""))</f>
        <v/>
      </c>
      <c r="F227" s="8" t="str">
        <f t="array" ref="F227">IF(D227="","",IFERROR(INDEX('Chart of Accounts'!$D:$D,MATCH(D227,'Chart of Accounts'!$A:$A,0)),""))</f>
        <v/>
      </c>
      <c r="G227" s="19"/>
      <c r="H227" s="19"/>
      <c r="I227" s="19"/>
      <c r="J227" s="19"/>
    </row>
    <row r="228" ht="15.75" customHeight="1">
      <c r="A228" s="8" t="str">
        <f t="shared" si="1"/>
        <v/>
      </c>
      <c r="B228" s="19"/>
      <c r="C228" s="19"/>
      <c r="D228" s="19"/>
      <c r="E228" s="8" t="str">
        <f t="array" ref="E228">IF(D228="","",IFERROR(INDEX('Chart of Accounts'!$B:$B,MATCH(D228,'Chart of Accounts'!$A:$A,0)),""))</f>
        <v/>
      </c>
      <c r="F228" s="8" t="str">
        <f t="array" ref="F228">IF(D228="","",IFERROR(INDEX('Chart of Accounts'!$D:$D,MATCH(D228,'Chart of Accounts'!$A:$A,0)),""))</f>
        <v/>
      </c>
      <c r="G228" s="19"/>
      <c r="H228" s="19"/>
      <c r="I228" s="19"/>
      <c r="J228" s="19"/>
    </row>
    <row r="229" ht="15.75" customHeight="1">
      <c r="A229" s="8" t="str">
        <f t="shared" si="1"/>
        <v/>
      </c>
      <c r="B229" s="19"/>
      <c r="C229" s="19"/>
      <c r="D229" s="19"/>
      <c r="E229" s="8" t="str">
        <f t="array" ref="E229">IF(D229="","",IFERROR(INDEX('Chart of Accounts'!$B:$B,MATCH(D229,'Chart of Accounts'!$A:$A,0)),""))</f>
        <v/>
      </c>
      <c r="F229" s="8" t="str">
        <f t="array" ref="F229">IF(D229="","",IFERROR(INDEX('Chart of Accounts'!$D:$D,MATCH(D229,'Chart of Accounts'!$A:$A,0)),""))</f>
        <v/>
      </c>
      <c r="G229" s="19"/>
      <c r="H229" s="19"/>
      <c r="I229" s="19"/>
      <c r="J229" s="19"/>
    </row>
    <row r="230" ht="15.75" customHeight="1">
      <c r="A230" s="8" t="str">
        <f t="shared" si="1"/>
        <v/>
      </c>
      <c r="B230" s="19"/>
      <c r="C230" s="19"/>
      <c r="D230" s="19"/>
      <c r="E230" s="8" t="str">
        <f t="array" ref="E230">IF(D230="","",IFERROR(INDEX('Chart of Accounts'!$B:$B,MATCH(D230,'Chart of Accounts'!$A:$A,0)),""))</f>
        <v/>
      </c>
      <c r="F230" s="8" t="str">
        <f t="array" ref="F230">IF(D230="","",IFERROR(INDEX('Chart of Accounts'!$D:$D,MATCH(D230,'Chart of Accounts'!$A:$A,0)),""))</f>
        <v/>
      </c>
      <c r="G230" s="19"/>
      <c r="H230" s="19"/>
      <c r="I230" s="19"/>
      <c r="J230" s="19"/>
    </row>
    <row r="231" ht="15.75" customHeight="1">
      <c r="A231" s="8" t="str">
        <f t="shared" si="1"/>
        <v/>
      </c>
      <c r="B231" s="19"/>
      <c r="C231" s="19"/>
      <c r="D231" s="19"/>
      <c r="E231" s="8" t="str">
        <f t="array" ref="E231">IF(D231="","",IFERROR(INDEX('Chart of Accounts'!$B:$B,MATCH(D231,'Chart of Accounts'!$A:$A,0)),""))</f>
        <v/>
      </c>
      <c r="F231" s="8" t="str">
        <f t="array" ref="F231">IF(D231="","",IFERROR(INDEX('Chart of Accounts'!$D:$D,MATCH(D231,'Chart of Accounts'!$A:$A,0)),""))</f>
        <v/>
      </c>
      <c r="G231" s="19"/>
      <c r="H231" s="19"/>
      <c r="I231" s="19"/>
      <c r="J231" s="19"/>
    </row>
    <row r="232" ht="15.75" customHeight="1">
      <c r="A232" s="8" t="str">
        <f t="shared" si="1"/>
        <v/>
      </c>
      <c r="B232" s="19"/>
      <c r="C232" s="19"/>
      <c r="D232" s="19"/>
      <c r="E232" s="8" t="str">
        <f t="array" ref="E232">IF(D232="","",IFERROR(INDEX('Chart of Accounts'!$B:$B,MATCH(D232,'Chart of Accounts'!$A:$A,0)),""))</f>
        <v/>
      </c>
      <c r="F232" s="8" t="str">
        <f t="array" ref="F232">IF(D232="","",IFERROR(INDEX('Chart of Accounts'!$D:$D,MATCH(D232,'Chart of Accounts'!$A:$A,0)),""))</f>
        <v/>
      </c>
      <c r="G232" s="19"/>
      <c r="H232" s="19"/>
      <c r="I232" s="19"/>
      <c r="J232" s="19"/>
    </row>
    <row r="233" ht="15.75" customHeight="1">
      <c r="A233" s="8" t="str">
        <f t="shared" si="1"/>
        <v/>
      </c>
      <c r="B233" s="19"/>
      <c r="C233" s="19"/>
      <c r="D233" s="19"/>
      <c r="E233" s="8" t="str">
        <f t="array" ref="E233">IF(D233="","",IFERROR(INDEX('Chart of Accounts'!$B:$B,MATCH(D233,'Chart of Accounts'!$A:$A,0)),""))</f>
        <v/>
      </c>
      <c r="F233" s="8" t="str">
        <f t="array" ref="F233">IF(D233="","",IFERROR(INDEX('Chart of Accounts'!$D:$D,MATCH(D233,'Chart of Accounts'!$A:$A,0)),""))</f>
        <v/>
      </c>
      <c r="G233" s="19"/>
      <c r="H233" s="19"/>
      <c r="I233" s="19"/>
      <c r="J233" s="19"/>
    </row>
    <row r="234" ht="15.75" customHeight="1">
      <c r="A234" s="8" t="str">
        <f t="shared" si="1"/>
        <v/>
      </c>
      <c r="B234" s="19"/>
      <c r="C234" s="19"/>
      <c r="D234" s="19"/>
      <c r="E234" s="8" t="str">
        <f t="array" ref="E234">IF(D234="","",IFERROR(INDEX('Chart of Accounts'!$B:$B,MATCH(D234,'Chart of Accounts'!$A:$A,0)),""))</f>
        <v/>
      </c>
      <c r="F234" s="8" t="str">
        <f t="array" ref="F234">IF(D234="","",IFERROR(INDEX('Chart of Accounts'!$D:$D,MATCH(D234,'Chart of Accounts'!$A:$A,0)),""))</f>
        <v/>
      </c>
      <c r="G234" s="19"/>
      <c r="H234" s="19"/>
      <c r="I234" s="19"/>
      <c r="J234" s="19"/>
    </row>
    <row r="235" ht="15.75" customHeight="1">
      <c r="A235" s="8" t="str">
        <f t="shared" si="1"/>
        <v/>
      </c>
      <c r="B235" s="19"/>
      <c r="C235" s="19"/>
      <c r="D235" s="19"/>
      <c r="E235" s="8" t="str">
        <f t="array" ref="E235">IF(D235="","",IFERROR(INDEX('Chart of Accounts'!$B:$B,MATCH(D235,'Chart of Accounts'!$A:$A,0)),""))</f>
        <v/>
      </c>
      <c r="F235" s="8" t="str">
        <f t="array" ref="F235">IF(D235="","",IFERROR(INDEX('Chart of Accounts'!$D:$D,MATCH(D235,'Chart of Accounts'!$A:$A,0)),""))</f>
        <v/>
      </c>
      <c r="G235" s="19"/>
      <c r="H235" s="19"/>
      <c r="I235" s="19"/>
      <c r="J235" s="19"/>
    </row>
    <row r="236" ht="15.75" customHeight="1">
      <c r="A236" s="8" t="str">
        <f t="shared" si="1"/>
        <v/>
      </c>
      <c r="B236" s="19"/>
      <c r="C236" s="19"/>
      <c r="D236" s="19"/>
      <c r="E236" s="8" t="str">
        <f t="array" ref="E236">IF(D236="","",IFERROR(INDEX('Chart of Accounts'!$B:$B,MATCH(D236,'Chart of Accounts'!$A:$A,0)),""))</f>
        <v/>
      </c>
      <c r="F236" s="8" t="str">
        <f t="array" ref="F236">IF(D236="","",IFERROR(INDEX('Chart of Accounts'!$D:$D,MATCH(D236,'Chart of Accounts'!$A:$A,0)),""))</f>
        <v/>
      </c>
      <c r="G236" s="19"/>
      <c r="H236" s="19"/>
      <c r="I236" s="19"/>
      <c r="J236" s="19"/>
    </row>
    <row r="237" ht="15.75" customHeight="1">
      <c r="A237" s="8" t="str">
        <f t="shared" si="1"/>
        <v/>
      </c>
      <c r="B237" s="19"/>
      <c r="C237" s="19"/>
      <c r="D237" s="19"/>
      <c r="E237" s="8" t="str">
        <f t="array" ref="E237">IF(D237="","",IFERROR(INDEX('Chart of Accounts'!$B:$B,MATCH(D237,'Chart of Accounts'!$A:$A,0)),""))</f>
        <v/>
      </c>
      <c r="F237" s="8" t="str">
        <f t="array" ref="F237">IF(D237="","",IFERROR(INDEX('Chart of Accounts'!$D:$D,MATCH(D237,'Chart of Accounts'!$A:$A,0)),""))</f>
        <v/>
      </c>
      <c r="G237" s="19"/>
      <c r="H237" s="19"/>
      <c r="I237" s="19"/>
      <c r="J237" s="19"/>
    </row>
    <row r="238" ht="15.75" customHeight="1">
      <c r="A238" s="8" t="str">
        <f t="shared" si="1"/>
        <v/>
      </c>
      <c r="B238" s="19"/>
      <c r="C238" s="19"/>
      <c r="D238" s="19"/>
      <c r="E238" s="8" t="str">
        <f t="array" ref="E238">IF(D238="","",IFERROR(INDEX('Chart of Accounts'!$B:$B,MATCH(D238,'Chart of Accounts'!$A:$A,0)),""))</f>
        <v/>
      </c>
      <c r="F238" s="8" t="str">
        <f t="array" ref="F238">IF(D238="","",IFERROR(INDEX('Chart of Accounts'!$D:$D,MATCH(D238,'Chart of Accounts'!$A:$A,0)),""))</f>
        <v/>
      </c>
      <c r="G238" s="19"/>
      <c r="H238" s="19"/>
      <c r="I238" s="19"/>
      <c r="J238" s="19"/>
    </row>
    <row r="239" ht="15.75" customHeight="1">
      <c r="A239" s="8" t="str">
        <f t="shared" si="1"/>
        <v/>
      </c>
      <c r="B239" s="19"/>
      <c r="C239" s="19"/>
      <c r="D239" s="19"/>
      <c r="E239" s="8" t="str">
        <f t="array" ref="E239">IF(D239="","",IFERROR(INDEX('Chart of Accounts'!$B:$B,MATCH(D239,'Chart of Accounts'!$A:$A,0)),""))</f>
        <v/>
      </c>
      <c r="F239" s="8" t="str">
        <f t="array" ref="F239">IF(D239="","",IFERROR(INDEX('Chart of Accounts'!$D:$D,MATCH(D239,'Chart of Accounts'!$A:$A,0)),""))</f>
        <v/>
      </c>
      <c r="G239" s="19"/>
      <c r="H239" s="19"/>
      <c r="I239" s="19"/>
      <c r="J239" s="19"/>
    </row>
    <row r="240" ht="15.75" customHeight="1">
      <c r="A240" s="8" t="str">
        <f t="shared" si="1"/>
        <v/>
      </c>
      <c r="B240" s="19"/>
      <c r="C240" s="19"/>
      <c r="D240" s="19"/>
      <c r="E240" s="8" t="str">
        <f t="array" ref="E240">IF(D240="","",IFERROR(INDEX('Chart of Accounts'!$B:$B,MATCH(D240,'Chart of Accounts'!$A:$A,0)),""))</f>
        <v/>
      </c>
      <c r="F240" s="8" t="str">
        <f t="array" ref="F240">IF(D240="","",IFERROR(INDEX('Chart of Accounts'!$D:$D,MATCH(D240,'Chart of Accounts'!$A:$A,0)),""))</f>
        <v/>
      </c>
      <c r="G240" s="19"/>
      <c r="H240" s="19"/>
      <c r="I240" s="19"/>
      <c r="J240" s="19"/>
    </row>
    <row r="241" ht="15.75" customHeight="1">
      <c r="A241" s="8" t="str">
        <f t="shared" si="1"/>
        <v/>
      </c>
      <c r="B241" s="19"/>
      <c r="C241" s="19"/>
      <c r="D241" s="19"/>
      <c r="E241" s="8" t="str">
        <f t="array" ref="E241">IF(D241="","",IFERROR(INDEX('Chart of Accounts'!$B:$B,MATCH(D241,'Chart of Accounts'!$A:$A,0)),""))</f>
        <v/>
      </c>
      <c r="F241" s="8" t="str">
        <f t="array" ref="F241">IF(D241="","",IFERROR(INDEX('Chart of Accounts'!$D:$D,MATCH(D241,'Chart of Accounts'!$A:$A,0)),""))</f>
        <v/>
      </c>
      <c r="G241" s="19"/>
      <c r="H241" s="19"/>
      <c r="I241" s="19"/>
      <c r="J241" s="19"/>
    </row>
    <row r="242" ht="15.75" customHeight="1">
      <c r="A242" s="8" t="str">
        <f t="shared" si="1"/>
        <v/>
      </c>
      <c r="B242" s="19"/>
      <c r="C242" s="19"/>
      <c r="D242" s="19"/>
      <c r="E242" s="8" t="str">
        <f t="array" ref="E242">IF(D242="","",IFERROR(INDEX('Chart of Accounts'!$B:$B,MATCH(D242,'Chart of Accounts'!$A:$A,0)),""))</f>
        <v/>
      </c>
      <c r="F242" s="8" t="str">
        <f t="array" ref="F242">IF(D242="","",IFERROR(INDEX('Chart of Accounts'!$D:$D,MATCH(D242,'Chart of Accounts'!$A:$A,0)),""))</f>
        <v/>
      </c>
      <c r="G242" s="19"/>
      <c r="H242" s="19"/>
      <c r="I242" s="19"/>
      <c r="J242" s="19"/>
    </row>
    <row r="243" ht="15.75" customHeight="1">
      <c r="A243" s="8" t="str">
        <f t="shared" si="1"/>
        <v/>
      </c>
      <c r="B243" s="19"/>
      <c r="C243" s="19"/>
      <c r="D243" s="19"/>
      <c r="E243" s="8" t="str">
        <f t="array" ref="E243">IF(D243="","",IFERROR(INDEX('Chart of Accounts'!$B:$B,MATCH(D243,'Chart of Accounts'!$A:$A,0)),""))</f>
        <v/>
      </c>
      <c r="F243" s="8" t="str">
        <f t="array" ref="F243">IF(D243="","",IFERROR(INDEX('Chart of Accounts'!$D:$D,MATCH(D243,'Chart of Accounts'!$A:$A,0)),""))</f>
        <v/>
      </c>
      <c r="G243" s="19"/>
      <c r="H243" s="19"/>
      <c r="I243" s="19"/>
      <c r="J243" s="19"/>
    </row>
    <row r="244" ht="15.75" customHeight="1">
      <c r="A244" s="8" t="str">
        <f t="shared" si="1"/>
        <v/>
      </c>
      <c r="B244" s="19"/>
      <c r="C244" s="19"/>
      <c r="D244" s="19"/>
      <c r="E244" s="8" t="str">
        <f t="array" ref="E244">IF(D244="","",IFERROR(INDEX('Chart of Accounts'!$B:$B,MATCH(D244,'Chart of Accounts'!$A:$A,0)),""))</f>
        <v/>
      </c>
      <c r="F244" s="8" t="str">
        <f t="array" ref="F244">IF(D244="","",IFERROR(INDEX('Chart of Accounts'!$D:$D,MATCH(D244,'Chart of Accounts'!$A:$A,0)),""))</f>
        <v/>
      </c>
      <c r="G244" s="19"/>
      <c r="H244" s="19"/>
      <c r="I244" s="19"/>
      <c r="J244" s="19"/>
    </row>
    <row r="245" ht="15.75" customHeight="1">
      <c r="A245" s="8" t="str">
        <f t="shared" si="1"/>
        <v/>
      </c>
      <c r="B245" s="19"/>
      <c r="C245" s="19"/>
      <c r="D245" s="19"/>
      <c r="E245" s="8" t="str">
        <f t="array" ref="E245">IF(D245="","",IFERROR(INDEX('Chart of Accounts'!$B:$B,MATCH(D245,'Chart of Accounts'!$A:$A,0)),""))</f>
        <v/>
      </c>
      <c r="F245" s="8" t="str">
        <f t="array" ref="F245">IF(D245="","",IFERROR(INDEX('Chart of Accounts'!$D:$D,MATCH(D245,'Chart of Accounts'!$A:$A,0)),""))</f>
        <v/>
      </c>
      <c r="G245" s="19"/>
      <c r="H245" s="19"/>
      <c r="I245" s="19"/>
      <c r="J245" s="19"/>
    </row>
    <row r="246" ht="15.75" customHeight="1">
      <c r="A246" s="8" t="str">
        <f t="shared" si="1"/>
        <v/>
      </c>
      <c r="B246" s="19"/>
      <c r="C246" s="19"/>
      <c r="D246" s="19"/>
      <c r="E246" s="8" t="str">
        <f t="array" ref="E246">IF(D246="","",IFERROR(INDEX('Chart of Accounts'!$B:$B,MATCH(D246,'Chart of Accounts'!$A:$A,0)),""))</f>
        <v/>
      </c>
      <c r="F246" s="8" t="str">
        <f t="array" ref="F246">IF(D246="","",IFERROR(INDEX('Chart of Accounts'!$D:$D,MATCH(D246,'Chart of Accounts'!$A:$A,0)),""))</f>
        <v/>
      </c>
      <c r="G246" s="19"/>
      <c r="H246" s="19"/>
      <c r="I246" s="19"/>
      <c r="J246" s="19"/>
    </row>
    <row r="247" ht="15.75" customHeight="1">
      <c r="A247" s="8" t="str">
        <f t="shared" si="1"/>
        <v/>
      </c>
      <c r="B247" s="19"/>
      <c r="C247" s="19"/>
      <c r="D247" s="19"/>
      <c r="E247" s="8" t="str">
        <f t="array" ref="E247">IF(D247="","",IFERROR(INDEX('Chart of Accounts'!$B:$B,MATCH(D247,'Chart of Accounts'!$A:$A,0)),""))</f>
        <v/>
      </c>
      <c r="F247" s="8" t="str">
        <f t="array" ref="F247">IF(D247="","",IFERROR(INDEX('Chart of Accounts'!$D:$D,MATCH(D247,'Chart of Accounts'!$A:$A,0)),""))</f>
        <v/>
      </c>
      <c r="G247" s="19"/>
      <c r="H247" s="19"/>
      <c r="I247" s="19"/>
      <c r="J247" s="19"/>
    </row>
    <row r="248" ht="15.75" customHeight="1">
      <c r="A248" s="8" t="str">
        <f t="shared" si="1"/>
        <v/>
      </c>
      <c r="B248" s="19"/>
      <c r="C248" s="19"/>
      <c r="D248" s="19"/>
      <c r="E248" s="8" t="str">
        <f t="array" ref="E248">IF(D248="","",IFERROR(INDEX('Chart of Accounts'!$B:$B,MATCH(D248,'Chart of Accounts'!$A:$A,0)),""))</f>
        <v/>
      </c>
      <c r="F248" s="8" t="str">
        <f t="array" ref="F248">IF(D248="","",IFERROR(INDEX('Chart of Accounts'!$D:$D,MATCH(D248,'Chart of Accounts'!$A:$A,0)),""))</f>
        <v/>
      </c>
      <c r="G248" s="19"/>
      <c r="H248" s="19"/>
      <c r="I248" s="19"/>
      <c r="J248" s="19"/>
    </row>
    <row r="249" ht="15.75" customHeight="1">
      <c r="A249" s="8" t="str">
        <f t="shared" si="1"/>
        <v/>
      </c>
      <c r="B249" s="19"/>
      <c r="C249" s="19"/>
      <c r="D249" s="19"/>
      <c r="E249" s="8" t="str">
        <f t="array" ref="E249">IF(D249="","",IFERROR(INDEX('Chart of Accounts'!$B:$B,MATCH(D249,'Chart of Accounts'!$A:$A,0)),""))</f>
        <v/>
      </c>
      <c r="F249" s="8" t="str">
        <f t="array" ref="F249">IF(D249="","",IFERROR(INDEX('Chart of Accounts'!$D:$D,MATCH(D249,'Chart of Accounts'!$A:$A,0)),""))</f>
        <v/>
      </c>
      <c r="G249" s="19"/>
      <c r="H249" s="19"/>
      <c r="I249" s="19"/>
      <c r="J249" s="19"/>
    </row>
    <row r="250" ht="15.75" customHeight="1">
      <c r="A250" s="8" t="str">
        <f t="shared" si="1"/>
        <v/>
      </c>
      <c r="B250" s="19"/>
      <c r="C250" s="19"/>
      <c r="D250" s="19"/>
      <c r="E250" s="8" t="str">
        <f t="array" ref="E250">IF(D250="","",IFERROR(INDEX('Chart of Accounts'!$B:$B,MATCH(D250,'Chart of Accounts'!$A:$A,0)),""))</f>
        <v/>
      </c>
      <c r="F250" s="8" t="str">
        <f t="array" ref="F250">IF(D250="","",IFERROR(INDEX('Chart of Accounts'!$D:$D,MATCH(D250,'Chart of Accounts'!$A:$A,0)),""))</f>
        <v/>
      </c>
      <c r="G250" s="19"/>
      <c r="H250" s="19"/>
      <c r="I250" s="19"/>
      <c r="J250" s="19"/>
    </row>
    <row r="251" ht="15.75" customHeight="1">
      <c r="A251" s="8" t="str">
        <f t="shared" si="1"/>
        <v/>
      </c>
      <c r="B251" s="19"/>
      <c r="C251" s="19"/>
      <c r="D251" s="19"/>
      <c r="E251" s="8" t="str">
        <f t="array" ref="E251">IF(D251="","",IFERROR(INDEX('Chart of Accounts'!$B:$B,MATCH(D251,'Chart of Accounts'!$A:$A,0)),""))</f>
        <v/>
      </c>
      <c r="F251" s="8" t="str">
        <f t="array" ref="F251">IF(D251="","",IFERROR(INDEX('Chart of Accounts'!$D:$D,MATCH(D251,'Chart of Accounts'!$A:$A,0)),""))</f>
        <v/>
      </c>
      <c r="G251" s="19"/>
      <c r="H251" s="19"/>
      <c r="I251" s="19"/>
      <c r="J251" s="19"/>
    </row>
    <row r="252" ht="15.75" customHeight="1">
      <c r="A252" s="8" t="str">
        <f t="shared" si="1"/>
        <v/>
      </c>
      <c r="B252" s="19"/>
      <c r="C252" s="19"/>
      <c r="D252" s="19"/>
      <c r="E252" s="8" t="str">
        <f t="array" ref="E252">IF(D252="","",IFERROR(INDEX('Chart of Accounts'!$B:$B,MATCH(D252,'Chart of Accounts'!$A:$A,0)),""))</f>
        <v/>
      </c>
      <c r="F252" s="8" t="str">
        <f t="array" ref="F252">IF(D252="","",IFERROR(INDEX('Chart of Accounts'!$D:$D,MATCH(D252,'Chart of Accounts'!$A:$A,0)),""))</f>
        <v/>
      </c>
      <c r="G252" s="19"/>
      <c r="H252" s="19"/>
      <c r="I252" s="19"/>
      <c r="J252" s="19"/>
    </row>
    <row r="253" ht="15.75" customHeight="1">
      <c r="A253" s="8" t="str">
        <f t="shared" si="1"/>
        <v/>
      </c>
      <c r="B253" s="19"/>
      <c r="C253" s="19"/>
      <c r="D253" s="19"/>
      <c r="E253" s="8" t="str">
        <f t="array" ref="E253">IF(D253="","",IFERROR(INDEX('Chart of Accounts'!$B:$B,MATCH(D253,'Chart of Accounts'!$A:$A,0)),""))</f>
        <v/>
      </c>
      <c r="F253" s="8" t="str">
        <f t="array" ref="F253">IF(D253="","",IFERROR(INDEX('Chart of Accounts'!$D:$D,MATCH(D253,'Chart of Accounts'!$A:$A,0)),""))</f>
        <v/>
      </c>
      <c r="G253" s="19"/>
      <c r="H253" s="19"/>
      <c r="I253" s="19"/>
      <c r="J253" s="19"/>
    </row>
    <row r="254" ht="15.75" customHeight="1">
      <c r="A254" s="8" t="str">
        <f t="shared" si="1"/>
        <v/>
      </c>
      <c r="B254" s="19"/>
      <c r="C254" s="19"/>
      <c r="D254" s="19"/>
      <c r="E254" s="8" t="str">
        <f t="array" ref="E254">IF(D254="","",IFERROR(INDEX('Chart of Accounts'!$B:$B,MATCH(D254,'Chart of Accounts'!$A:$A,0)),""))</f>
        <v/>
      </c>
      <c r="F254" s="8" t="str">
        <f t="array" ref="F254">IF(D254="","",IFERROR(INDEX('Chart of Accounts'!$D:$D,MATCH(D254,'Chart of Accounts'!$A:$A,0)),""))</f>
        <v/>
      </c>
      <c r="G254" s="19"/>
      <c r="H254" s="19"/>
      <c r="I254" s="19"/>
      <c r="J254" s="19"/>
    </row>
    <row r="255" ht="15.75" customHeight="1">
      <c r="A255" s="8" t="str">
        <f t="shared" si="1"/>
        <v/>
      </c>
      <c r="B255" s="19"/>
      <c r="C255" s="19"/>
      <c r="D255" s="19"/>
      <c r="E255" s="8" t="str">
        <f t="array" ref="E255">IF(D255="","",IFERROR(INDEX('Chart of Accounts'!$B:$B,MATCH(D255,'Chart of Accounts'!$A:$A,0)),""))</f>
        <v/>
      </c>
      <c r="F255" s="8" t="str">
        <f t="array" ref="F255">IF(D255="","",IFERROR(INDEX('Chart of Accounts'!$D:$D,MATCH(D255,'Chart of Accounts'!$A:$A,0)),""))</f>
        <v/>
      </c>
      <c r="G255" s="19"/>
      <c r="H255" s="19"/>
      <c r="I255" s="19"/>
      <c r="J255" s="19"/>
    </row>
    <row r="256" ht="15.75" customHeight="1">
      <c r="A256" s="8" t="str">
        <f t="shared" si="1"/>
        <v/>
      </c>
      <c r="B256" s="19"/>
      <c r="C256" s="19"/>
      <c r="D256" s="19"/>
      <c r="E256" s="8" t="str">
        <f t="array" ref="E256">IF(D256="","",IFERROR(INDEX('Chart of Accounts'!$B:$B,MATCH(D256,'Chart of Accounts'!$A:$A,0)),""))</f>
        <v/>
      </c>
      <c r="F256" s="8" t="str">
        <f t="array" ref="F256">IF(D256="","",IFERROR(INDEX('Chart of Accounts'!$D:$D,MATCH(D256,'Chart of Accounts'!$A:$A,0)),""))</f>
        <v/>
      </c>
      <c r="G256" s="19"/>
      <c r="H256" s="19"/>
      <c r="I256" s="19"/>
      <c r="J256" s="19"/>
    </row>
    <row r="257" ht="15.75" customHeight="1">
      <c r="A257" s="8" t="str">
        <f t="shared" si="1"/>
        <v/>
      </c>
      <c r="B257" s="19"/>
      <c r="C257" s="19"/>
      <c r="D257" s="19"/>
      <c r="E257" s="8" t="str">
        <f t="array" ref="E257">IF(D257="","",IFERROR(INDEX('Chart of Accounts'!$B:$B,MATCH(D257,'Chart of Accounts'!$A:$A,0)),""))</f>
        <v/>
      </c>
      <c r="F257" s="8" t="str">
        <f t="array" ref="F257">IF(D257="","",IFERROR(INDEX('Chart of Accounts'!$D:$D,MATCH(D257,'Chart of Accounts'!$A:$A,0)),""))</f>
        <v/>
      </c>
      <c r="G257" s="19"/>
      <c r="H257" s="19"/>
      <c r="I257" s="19"/>
      <c r="J257" s="19"/>
    </row>
    <row r="258" ht="15.75" customHeight="1">
      <c r="A258" s="8" t="str">
        <f t="shared" si="1"/>
        <v/>
      </c>
      <c r="B258" s="19"/>
      <c r="C258" s="19"/>
      <c r="D258" s="19"/>
      <c r="E258" s="8" t="str">
        <f t="array" ref="E258">IF(D258="","",IFERROR(INDEX('Chart of Accounts'!$B:$B,MATCH(D258,'Chart of Accounts'!$A:$A,0)),""))</f>
        <v/>
      </c>
      <c r="F258" s="8" t="str">
        <f t="array" ref="F258">IF(D258="","",IFERROR(INDEX('Chart of Accounts'!$D:$D,MATCH(D258,'Chart of Accounts'!$A:$A,0)),""))</f>
        <v/>
      </c>
      <c r="G258" s="19"/>
      <c r="H258" s="19"/>
      <c r="I258" s="19"/>
      <c r="J258" s="19"/>
    </row>
    <row r="259" ht="15.75" customHeight="1">
      <c r="A259" s="8" t="str">
        <f t="shared" si="1"/>
        <v/>
      </c>
      <c r="B259" s="19"/>
      <c r="C259" s="19"/>
      <c r="D259" s="19"/>
      <c r="E259" s="8" t="str">
        <f t="array" ref="E259">IF(D259="","",IFERROR(INDEX('Chart of Accounts'!$B:$B,MATCH(D259,'Chart of Accounts'!$A:$A,0)),""))</f>
        <v/>
      </c>
      <c r="F259" s="8" t="str">
        <f t="array" ref="F259">IF(D259="","",IFERROR(INDEX('Chart of Accounts'!$D:$D,MATCH(D259,'Chart of Accounts'!$A:$A,0)),""))</f>
        <v/>
      </c>
      <c r="G259" s="19"/>
      <c r="H259" s="19"/>
      <c r="I259" s="19"/>
      <c r="J259" s="19"/>
    </row>
    <row r="260" ht="15.75" customHeight="1">
      <c r="A260" s="8" t="str">
        <f t="shared" si="1"/>
        <v/>
      </c>
      <c r="B260" s="19"/>
      <c r="C260" s="19"/>
      <c r="D260" s="19"/>
      <c r="E260" s="8" t="str">
        <f t="array" ref="E260">IF(D260="","",IFERROR(INDEX('Chart of Accounts'!$B:$B,MATCH(D260,'Chart of Accounts'!$A:$A,0)),""))</f>
        <v/>
      </c>
      <c r="F260" s="8" t="str">
        <f t="array" ref="F260">IF(D260="","",IFERROR(INDEX('Chart of Accounts'!$D:$D,MATCH(D260,'Chart of Accounts'!$A:$A,0)),""))</f>
        <v/>
      </c>
      <c r="G260" s="19"/>
      <c r="H260" s="19"/>
      <c r="I260" s="19"/>
      <c r="J260" s="19"/>
    </row>
    <row r="261" ht="15.75" customHeight="1">
      <c r="A261" s="8" t="str">
        <f t="shared" si="1"/>
        <v/>
      </c>
      <c r="B261" s="19"/>
      <c r="C261" s="19"/>
      <c r="D261" s="19"/>
      <c r="E261" s="8" t="str">
        <f t="array" ref="E261">IF(D261="","",IFERROR(INDEX('Chart of Accounts'!$B:$B,MATCH(D261,'Chart of Accounts'!$A:$A,0)),""))</f>
        <v/>
      </c>
      <c r="F261" s="8" t="str">
        <f t="array" ref="F261">IF(D261="","",IFERROR(INDEX('Chart of Accounts'!$D:$D,MATCH(D261,'Chart of Accounts'!$A:$A,0)),""))</f>
        <v/>
      </c>
      <c r="G261" s="19"/>
      <c r="H261" s="19"/>
      <c r="I261" s="19"/>
      <c r="J261" s="19"/>
    </row>
    <row r="262" ht="15.75" customHeight="1">
      <c r="A262" s="8" t="str">
        <f t="shared" si="1"/>
        <v/>
      </c>
      <c r="B262" s="19"/>
      <c r="C262" s="19"/>
      <c r="D262" s="19"/>
      <c r="E262" s="8" t="str">
        <f t="array" ref="E262">IF(D262="","",IFERROR(INDEX('Chart of Accounts'!$B:$B,MATCH(D262,'Chart of Accounts'!$A:$A,0)),""))</f>
        <v/>
      </c>
      <c r="F262" s="8" t="str">
        <f t="array" ref="F262">IF(D262="","",IFERROR(INDEX('Chart of Accounts'!$D:$D,MATCH(D262,'Chart of Accounts'!$A:$A,0)),""))</f>
        <v/>
      </c>
      <c r="G262" s="19"/>
      <c r="H262" s="19"/>
      <c r="I262" s="19"/>
      <c r="J262" s="19"/>
    </row>
    <row r="263" ht="15.75" customHeight="1">
      <c r="A263" s="8" t="str">
        <f t="shared" si="1"/>
        <v/>
      </c>
      <c r="B263" s="19"/>
      <c r="C263" s="19"/>
      <c r="D263" s="19"/>
      <c r="E263" s="8" t="str">
        <f t="array" ref="E263">IF(D263="","",IFERROR(INDEX('Chart of Accounts'!$B:$B,MATCH(D263,'Chart of Accounts'!$A:$A,0)),""))</f>
        <v/>
      </c>
      <c r="F263" s="8" t="str">
        <f t="array" ref="F263">IF(D263="","",IFERROR(INDEX('Chart of Accounts'!$D:$D,MATCH(D263,'Chart of Accounts'!$A:$A,0)),""))</f>
        <v/>
      </c>
      <c r="G263" s="19"/>
      <c r="H263" s="19"/>
      <c r="I263" s="19"/>
      <c r="J263" s="19"/>
    </row>
    <row r="264" ht="15.75" customHeight="1">
      <c r="A264" s="8" t="str">
        <f t="shared" si="1"/>
        <v/>
      </c>
      <c r="B264" s="19"/>
      <c r="C264" s="19"/>
      <c r="D264" s="19"/>
      <c r="E264" s="8" t="str">
        <f t="array" ref="E264">IF(D264="","",IFERROR(INDEX('Chart of Accounts'!$B:$B,MATCH(D264,'Chart of Accounts'!$A:$A,0)),""))</f>
        <v/>
      </c>
      <c r="F264" s="8" t="str">
        <f t="array" ref="F264">IF(D264="","",IFERROR(INDEX('Chart of Accounts'!$D:$D,MATCH(D264,'Chart of Accounts'!$A:$A,0)),""))</f>
        <v/>
      </c>
      <c r="G264" s="19"/>
      <c r="H264" s="19"/>
      <c r="I264" s="19"/>
      <c r="J264" s="19"/>
    </row>
    <row r="265" ht="15.75" customHeight="1">
      <c r="A265" s="8" t="str">
        <f t="shared" si="1"/>
        <v/>
      </c>
      <c r="B265" s="19"/>
      <c r="C265" s="19"/>
      <c r="D265" s="19"/>
      <c r="E265" s="8" t="str">
        <f t="array" ref="E265">IF(D265="","",IFERROR(INDEX('Chart of Accounts'!$B:$B,MATCH(D265,'Chart of Accounts'!$A:$A,0)),""))</f>
        <v/>
      </c>
      <c r="F265" s="8" t="str">
        <f t="array" ref="F265">IF(D265="","",IFERROR(INDEX('Chart of Accounts'!$D:$D,MATCH(D265,'Chart of Accounts'!$A:$A,0)),""))</f>
        <v/>
      </c>
      <c r="G265" s="19"/>
      <c r="H265" s="19"/>
      <c r="I265" s="19"/>
      <c r="J265" s="19"/>
    </row>
    <row r="266" ht="15.75" customHeight="1">
      <c r="A266" s="8" t="str">
        <f t="shared" si="1"/>
        <v/>
      </c>
      <c r="B266" s="19"/>
      <c r="C266" s="19"/>
      <c r="D266" s="19"/>
      <c r="E266" s="8" t="str">
        <f t="array" ref="E266">IF(D266="","",IFERROR(INDEX('Chart of Accounts'!$B:$B,MATCH(D266,'Chart of Accounts'!$A:$A,0)),""))</f>
        <v/>
      </c>
      <c r="F266" s="8" t="str">
        <f t="array" ref="F266">IF(D266="","",IFERROR(INDEX('Chart of Accounts'!$D:$D,MATCH(D266,'Chart of Accounts'!$A:$A,0)),""))</f>
        <v/>
      </c>
      <c r="G266" s="19"/>
      <c r="H266" s="19"/>
      <c r="I266" s="19"/>
      <c r="J266" s="19"/>
    </row>
    <row r="267" ht="15.75" customHeight="1">
      <c r="A267" s="8" t="str">
        <f t="shared" si="1"/>
        <v/>
      </c>
      <c r="B267" s="19"/>
      <c r="C267" s="19"/>
      <c r="D267" s="19"/>
      <c r="E267" s="8" t="str">
        <f t="array" ref="E267">IF(D267="","",IFERROR(INDEX('Chart of Accounts'!$B:$B,MATCH(D267,'Chart of Accounts'!$A:$A,0)),""))</f>
        <v/>
      </c>
      <c r="F267" s="8" t="str">
        <f t="array" ref="F267">IF(D267="","",IFERROR(INDEX('Chart of Accounts'!$D:$D,MATCH(D267,'Chart of Accounts'!$A:$A,0)),""))</f>
        <v/>
      </c>
      <c r="G267" s="19"/>
      <c r="H267" s="19"/>
      <c r="I267" s="19"/>
      <c r="J267" s="19"/>
    </row>
    <row r="268" ht="15.75" customHeight="1">
      <c r="A268" s="8" t="str">
        <f t="shared" si="1"/>
        <v/>
      </c>
      <c r="B268" s="19"/>
      <c r="C268" s="19"/>
      <c r="D268" s="19"/>
      <c r="E268" s="8" t="str">
        <f t="array" ref="E268">IF(D268="","",IFERROR(INDEX('Chart of Accounts'!$B:$B,MATCH(D268,'Chart of Accounts'!$A:$A,0)),""))</f>
        <v/>
      </c>
      <c r="F268" s="8" t="str">
        <f t="array" ref="F268">IF(D268="","",IFERROR(INDEX('Chart of Accounts'!$D:$D,MATCH(D268,'Chart of Accounts'!$A:$A,0)),""))</f>
        <v/>
      </c>
      <c r="G268" s="19"/>
      <c r="H268" s="19"/>
      <c r="I268" s="19"/>
      <c r="J268" s="19"/>
    </row>
    <row r="269" ht="15.75" customHeight="1">
      <c r="A269" s="8" t="str">
        <f t="shared" si="1"/>
        <v/>
      </c>
      <c r="B269" s="19"/>
      <c r="C269" s="19"/>
      <c r="D269" s="19"/>
      <c r="E269" s="8" t="str">
        <f t="array" ref="E269">IF(D269="","",IFERROR(INDEX('Chart of Accounts'!$B:$B,MATCH(D269,'Chart of Accounts'!$A:$A,0)),""))</f>
        <v/>
      </c>
      <c r="F269" s="8" t="str">
        <f t="array" ref="F269">IF(D269="","",IFERROR(INDEX('Chart of Accounts'!$D:$D,MATCH(D269,'Chart of Accounts'!$A:$A,0)),""))</f>
        <v/>
      </c>
      <c r="G269" s="19"/>
      <c r="H269" s="19"/>
      <c r="I269" s="19"/>
      <c r="J269" s="19"/>
    </row>
    <row r="270" ht="15.75" customHeight="1">
      <c r="A270" s="8" t="str">
        <f t="shared" si="1"/>
        <v/>
      </c>
      <c r="B270" s="19"/>
      <c r="C270" s="19"/>
      <c r="D270" s="19"/>
      <c r="E270" s="8" t="str">
        <f t="array" ref="E270">IF(D270="","",IFERROR(INDEX('Chart of Accounts'!$B:$B,MATCH(D270,'Chart of Accounts'!$A:$A,0)),""))</f>
        <v/>
      </c>
      <c r="F270" s="8" t="str">
        <f t="array" ref="F270">IF(D270="","",IFERROR(INDEX('Chart of Accounts'!$D:$D,MATCH(D270,'Chart of Accounts'!$A:$A,0)),""))</f>
        <v/>
      </c>
      <c r="G270" s="19"/>
      <c r="H270" s="19"/>
      <c r="I270" s="19"/>
      <c r="J270" s="19"/>
    </row>
    <row r="271" ht="15.75" customHeight="1">
      <c r="A271" s="8" t="str">
        <f t="shared" si="1"/>
        <v/>
      </c>
      <c r="B271" s="19"/>
      <c r="C271" s="19"/>
      <c r="D271" s="19"/>
      <c r="E271" s="8" t="str">
        <f t="array" ref="E271">IF(D271="","",IFERROR(INDEX('Chart of Accounts'!$B:$B,MATCH(D271,'Chart of Accounts'!$A:$A,0)),""))</f>
        <v/>
      </c>
      <c r="F271" s="8" t="str">
        <f t="array" ref="F271">IF(D271="","",IFERROR(INDEX('Chart of Accounts'!$D:$D,MATCH(D271,'Chart of Accounts'!$A:$A,0)),""))</f>
        <v/>
      </c>
      <c r="G271" s="19"/>
      <c r="H271" s="19"/>
      <c r="I271" s="19"/>
      <c r="J271" s="19"/>
    </row>
    <row r="272" ht="15.75" customHeight="1">
      <c r="A272" s="8" t="str">
        <f t="shared" si="1"/>
        <v/>
      </c>
      <c r="B272" s="19"/>
      <c r="C272" s="19"/>
      <c r="D272" s="19"/>
      <c r="E272" s="8" t="str">
        <f t="array" ref="E272">IF(D272="","",IFERROR(INDEX('Chart of Accounts'!$B:$B,MATCH(D272,'Chart of Accounts'!$A:$A,0)),""))</f>
        <v/>
      </c>
      <c r="F272" s="8" t="str">
        <f t="array" ref="F272">IF(D272="","",IFERROR(INDEX('Chart of Accounts'!$D:$D,MATCH(D272,'Chart of Accounts'!$A:$A,0)),""))</f>
        <v/>
      </c>
      <c r="G272" s="19"/>
      <c r="H272" s="19"/>
      <c r="I272" s="19"/>
      <c r="J272" s="19"/>
    </row>
    <row r="273" ht="15.75" customHeight="1">
      <c r="A273" s="8" t="str">
        <f t="shared" si="1"/>
        <v/>
      </c>
      <c r="B273" s="19"/>
      <c r="C273" s="19"/>
      <c r="D273" s="19"/>
      <c r="E273" s="8" t="str">
        <f t="array" ref="E273">IF(D273="","",IFERROR(INDEX('Chart of Accounts'!$B:$B,MATCH(D273,'Chart of Accounts'!$A:$A,0)),""))</f>
        <v/>
      </c>
      <c r="F273" s="8" t="str">
        <f t="array" ref="F273">IF(D273="","",IFERROR(INDEX('Chart of Accounts'!$D:$D,MATCH(D273,'Chart of Accounts'!$A:$A,0)),""))</f>
        <v/>
      </c>
      <c r="G273" s="19"/>
      <c r="H273" s="19"/>
      <c r="I273" s="19"/>
      <c r="J273" s="19"/>
    </row>
    <row r="274" ht="15.75" customHeight="1">
      <c r="A274" s="8" t="str">
        <f t="shared" si="1"/>
        <v/>
      </c>
      <c r="B274" s="19"/>
      <c r="C274" s="19"/>
      <c r="D274" s="19"/>
      <c r="E274" s="8" t="str">
        <f t="array" ref="E274">IF(D274="","",IFERROR(INDEX('Chart of Accounts'!$B:$B,MATCH(D274,'Chart of Accounts'!$A:$A,0)),""))</f>
        <v/>
      </c>
      <c r="F274" s="8" t="str">
        <f t="array" ref="F274">IF(D274="","",IFERROR(INDEX('Chart of Accounts'!$D:$D,MATCH(D274,'Chart of Accounts'!$A:$A,0)),""))</f>
        <v/>
      </c>
      <c r="G274" s="19"/>
      <c r="H274" s="19"/>
      <c r="I274" s="19"/>
      <c r="J274" s="19"/>
    </row>
    <row r="275" ht="15.75" customHeight="1">
      <c r="A275" s="8" t="str">
        <f t="shared" si="1"/>
        <v/>
      </c>
      <c r="B275" s="19"/>
      <c r="C275" s="19"/>
      <c r="D275" s="19"/>
      <c r="E275" s="8" t="str">
        <f t="array" ref="E275">IF(D275="","",IFERROR(INDEX('Chart of Accounts'!$B:$B,MATCH(D275,'Chart of Accounts'!$A:$A,0)),""))</f>
        <v/>
      </c>
      <c r="F275" s="8" t="str">
        <f t="array" ref="F275">IF(D275="","",IFERROR(INDEX('Chart of Accounts'!$D:$D,MATCH(D275,'Chart of Accounts'!$A:$A,0)),""))</f>
        <v/>
      </c>
      <c r="G275" s="19"/>
      <c r="H275" s="19"/>
      <c r="I275" s="19"/>
      <c r="J275" s="19"/>
    </row>
    <row r="276" ht="15.75" customHeight="1">
      <c r="A276" s="8" t="str">
        <f t="shared" si="1"/>
        <v/>
      </c>
      <c r="B276" s="19"/>
      <c r="C276" s="19"/>
      <c r="D276" s="19"/>
      <c r="E276" s="8" t="str">
        <f t="array" ref="E276">IF(D276="","",IFERROR(INDEX('Chart of Accounts'!$B:$B,MATCH(D276,'Chart of Accounts'!$A:$A,0)),""))</f>
        <v/>
      </c>
      <c r="F276" s="8" t="str">
        <f t="array" ref="F276">IF(D276="","",IFERROR(INDEX('Chart of Accounts'!$D:$D,MATCH(D276,'Chart of Accounts'!$A:$A,0)),""))</f>
        <v/>
      </c>
      <c r="G276" s="19"/>
      <c r="H276" s="19"/>
      <c r="I276" s="19"/>
      <c r="J276" s="19"/>
    </row>
    <row r="277" ht="15.75" customHeight="1">
      <c r="A277" s="8" t="str">
        <f t="shared" si="1"/>
        <v/>
      </c>
      <c r="B277" s="19"/>
      <c r="C277" s="19"/>
      <c r="D277" s="19"/>
      <c r="E277" s="8" t="str">
        <f t="array" ref="E277">IF(D277="","",IFERROR(INDEX('Chart of Accounts'!$B:$B,MATCH(D277,'Chart of Accounts'!$A:$A,0)),""))</f>
        <v/>
      </c>
      <c r="F277" s="8" t="str">
        <f t="array" ref="F277">IF(D277="","",IFERROR(INDEX('Chart of Accounts'!$D:$D,MATCH(D277,'Chart of Accounts'!$A:$A,0)),""))</f>
        <v/>
      </c>
      <c r="G277" s="19"/>
      <c r="H277" s="19"/>
      <c r="I277" s="19"/>
      <c r="J277" s="19"/>
    </row>
    <row r="278" ht="15.75" customHeight="1">
      <c r="A278" s="8" t="str">
        <f t="shared" si="1"/>
        <v/>
      </c>
      <c r="B278" s="19"/>
      <c r="C278" s="19"/>
      <c r="D278" s="19"/>
      <c r="E278" s="8" t="str">
        <f t="array" ref="E278">IF(D278="","",IFERROR(INDEX('Chart of Accounts'!$B:$B,MATCH(D278,'Chart of Accounts'!$A:$A,0)),""))</f>
        <v/>
      </c>
      <c r="F278" s="8" t="str">
        <f t="array" ref="F278">IF(D278="","",IFERROR(INDEX('Chart of Accounts'!$D:$D,MATCH(D278,'Chart of Accounts'!$A:$A,0)),""))</f>
        <v/>
      </c>
      <c r="G278" s="19"/>
      <c r="H278" s="19"/>
      <c r="I278" s="19"/>
      <c r="J278" s="19"/>
    </row>
    <row r="279" ht="15.75" customHeight="1">
      <c r="A279" s="8" t="str">
        <f t="shared" si="1"/>
        <v/>
      </c>
      <c r="B279" s="19"/>
      <c r="C279" s="19"/>
      <c r="D279" s="19"/>
      <c r="E279" s="8" t="str">
        <f t="array" ref="E279">IF(D279="","",IFERROR(INDEX('Chart of Accounts'!$B:$B,MATCH(D279,'Chart of Accounts'!$A:$A,0)),""))</f>
        <v/>
      </c>
      <c r="F279" s="8" t="str">
        <f t="array" ref="F279">IF(D279="","",IFERROR(INDEX('Chart of Accounts'!$D:$D,MATCH(D279,'Chart of Accounts'!$A:$A,0)),""))</f>
        <v/>
      </c>
      <c r="G279" s="19"/>
      <c r="H279" s="19"/>
      <c r="I279" s="19"/>
      <c r="J279" s="19"/>
    </row>
    <row r="280" ht="15.75" customHeight="1">
      <c r="A280" s="8" t="str">
        <f t="shared" si="1"/>
        <v/>
      </c>
      <c r="B280" s="19"/>
      <c r="C280" s="19"/>
      <c r="D280" s="19"/>
      <c r="E280" s="8" t="str">
        <f t="array" ref="E280">IF(D280="","",IFERROR(INDEX('Chart of Accounts'!$B:$B,MATCH(D280,'Chart of Accounts'!$A:$A,0)),""))</f>
        <v/>
      </c>
      <c r="F280" s="8" t="str">
        <f t="array" ref="F280">IF(D280="","",IFERROR(INDEX('Chart of Accounts'!$D:$D,MATCH(D280,'Chart of Accounts'!$A:$A,0)),""))</f>
        <v/>
      </c>
      <c r="G280" s="19"/>
      <c r="H280" s="19"/>
      <c r="I280" s="19"/>
      <c r="J280" s="19"/>
    </row>
    <row r="281" ht="15.75" customHeight="1">
      <c r="A281" s="8" t="str">
        <f t="shared" si="1"/>
        <v/>
      </c>
      <c r="B281" s="19"/>
      <c r="C281" s="19"/>
      <c r="D281" s="19"/>
      <c r="E281" s="8" t="str">
        <f t="array" ref="E281">IF(D281="","",IFERROR(INDEX('Chart of Accounts'!$B:$B,MATCH(D281,'Chart of Accounts'!$A:$A,0)),""))</f>
        <v/>
      </c>
      <c r="F281" s="8" t="str">
        <f t="array" ref="F281">IF(D281="","",IFERROR(INDEX('Chart of Accounts'!$D:$D,MATCH(D281,'Chart of Accounts'!$A:$A,0)),""))</f>
        <v/>
      </c>
      <c r="G281" s="19"/>
      <c r="H281" s="19"/>
      <c r="I281" s="19"/>
      <c r="J281" s="19"/>
    </row>
    <row r="282" ht="15.75" customHeight="1">
      <c r="A282" s="8" t="str">
        <f t="shared" si="1"/>
        <v/>
      </c>
      <c r="B282" s="19"/>
      <c r="C282" s="19"/>
      <c r="D282" s="19"/>
      <c r="E282" s="8" t="str">
        <f t="array" ref="E282">IF(D282="","",IFERROR(INDEX('Chart of Accounts'!$B:$B,MATCH(D282,'Chart of Accounts'!$A:$A,0)),""))</f>
        <v/>
      </c>
      <c r="F282" s="8" t="str">
        <f t="array" ref="F282">IF(D282="","",IFERROR(INDEX('Chart of Accounts'!$D:$D,MATCH(D282,'Chart of Accounts'!$A:$A,0)),""))</f>
        <v/>
      </c>
      <c r="G282" s="19"/>
      <c r="H282" s="19"/>
      <c r="I282" s="19"/>
      <c r="J282" s="19"/>
    </row>
    <row r="283" ht="15.75" customHeight="1">
      <c r="A283" s="8" t="str">
        <f t="shared" si="1"/>
        <v/>
      </c>
      <c r="B283" s="19"/>
      <c r="C283" s="19"/>
      <c r="D283" s="19"/>
      <c r="E283" s="8" t="str">
        <f t="array" ref="E283">IF(D283="","",IFERROR(INDEX('Chart of Accounts'!$B:$B,MATCH(D283,'Chart of Accounts'!$A:$A,0)),""))</f>
        <v/>
      </c>
      <c r="F283" s="8" t="str">
        <f t="array" ref="F283">IF(D283="","",IFERROR(INDEX('Chart of Accounts'!$D:$D,MATCH(D283,'Chart of Accounts'!$A:$A,0)),""))</f>
        <v/>
      </c>
      <c r="G283" s="19"/>
      <c r="H283" s="19"/>
      <c r="I283" s="19"/>
      <c r="J283" s="19"/>
    </row>
    <row r="284" ht="15.75" customHeight="1">
      <c r="A284" s="8" t="str">
        <f t="shared" si="1"/>
        <v/>
      </c>
      <c r="B284" s="19"/>
      <c r="C284" s="19"/>
      <c r="D284" s="19"/>
      <c r="E284" s="8" t="str">
        <f t="array" ref="E284">IF(D284="","",IFERROR(INDEX('Chart of Accounts'!$B:$B,MATCH(D284,'Chart of Accounts'!$A:$A,0)),""))</f>
        <v/>
      </c>
      <c r="F284" s="8" t="str">
        <f t="array" ref="F284">IF(D284="","",IFERROR(INDEX('Chart of Accounts'!$D:$D,MATCH(D284,'Chart of Accounts'!$A:$A,0)),""))</f>
        <v/>
      </c>
      <c r="G284" s="19"/>
      <c r="H284" s="19"/>
      <c r="I284" s="19"/>
      <c r="J284" s="19"/>
    </row>
    <row r="285" ht="15.75" customHeight="1">
      <c r="A285" s="8" t="str">
        <f t="shared" si="1"/>
        <v/>
      </c>
      <c r="B285" s="19"/>
      <c r="C285" s="19"/>
      <c r="D285" s="19"/>
      <c r="E285" s="8" t="str">
        <f t="array" ref="E285">IF(D285="","",IFERROR(INDEX('Chart of Accounts'!$B:$B,MATCH(D285,'Chart of Accounts'!$A:$A,0)),""))</f>
        <v/>
      </c>
      <c r="F285" s="8" t="str">
        <f t="array" ref="F285">IF(D285="","",IFERROR(INDEX('Chart of Accounts'!$D:$D,MATCH(D285,'Chart of Accounts'!$A:$A,0)),""))</f>
        <v/>
      </c>
      <c r="G285" s="19"/>
      <c r="H285" s="19"/>
      <c r="I285" s="19"/>
      <c r="J285" s="19"/>
    </row>
    <row r="286" ht="15.75" customHeight="1">
      <c r="A286" s="8" t="str">
        <f t="shared" si="1"/>
        <v/>
      </c>
      <c r="B286" s="19"/>
      <c r="C286" s="19"/>
      <c r="D286" s="19"/>
      <c r="E286" s="8" t="str">
        <f t="array" ref="E286">IF(D286="","",IFERROR(INDEX('Chart of Accounts'!$B:$B,MATCH(D286,'Chart of Accounts'!$A:$A,0)),""))</f>
        <v/>
      </c>
      <c r="F286" s="8" t="str">
        <f t="array" ref="F286">IF(D286="","",IFERROR(INDEX('Chart of Accounts'!$D:$D,MATCH(D286,'Chart of Accounts'!$A:$A,0)),""))</f>
        <v/>
      </c>
      <c r="G286" s="19"/>
      <c r="H286" s="19"/>
      <c r="I286" s="19"/>
      <c r="J286" s="19"/>
    </row>
    <row r="287" ht="15.75" customHeight="1">
      <c r="A287" s="8" t="str">
        <f t="shared" si="1"/>
        <v/>
      </c>
      <c r="B287" s="19"/>
      <c r="C287" s="19"/>
      <c r="D287" s="19"/>
      <c r="E287" s="8" t="str">
        <f t="array" ref="E287">IF(D287="","",IFERROR(INDEX('Chart of Accounts'!$B:$B,MATCH(D287,'Chart of Accounts'!$A:$A,0)),""))</f>
        <v/>
      </c>
      <c r="F287" s="8" t="str">
        <f t="array" ref="F287">IF(D287="","",IFERROR(INDEX('Chart of Accounts'!$D:$D,MATCH(D287,'Chart of Accounts'!$A:$A,0)),""))</f>
        <v/>
      </c>
      <c r="G287" s="19"/>
      <c r="H287" s="19"/>
      <c r="I287" s="19"/>
      <c r="J287" s="19"/>
    </row>
    <row r="288" ht="15.75" customHeight="1">
      <c r="A288" s="8" t="str">
        <f t="shared" si="1"/>
        <v/>
      </c>
      <c r="B288" s="19"/>
      <c r="C288" s="19"/>
      <c r="D288" s="19"/>
      <c r="E288" s="8" t="str">
        <f t="array" ref="E288">IF(D288="","",IFERROR(INDEX('Chart of Accounts'!$B:$B,MATCH(D288,'Chart of Accounts'!$A:$A,0)),""))</f>
        <v/>
      </c>
      <c r="F288" s="8" t="str">
        <f t="array" ref="F288">IF(D288="","",IFERROR(INDEX('Chart of Accounts'!$D:$D,MATCH(D288,'Chart of Accounts'!$A:$A,0)),""))</f>
        <v/>
      </c>
      <c r="G288" s="19"/>
      <c r="H288" s="19"/>
      <c r="I288" s="19"/>
      <c r="J288" s="19"/>
    </row>
    <row r="289" ht="15.75" customHeight="1">
      <c r="A289" s="8" t="str">
        <f t="shared" si="1"/>
        <v/>
      </c>
      <c r="B289" s="19"/>
      <c r="C289" s="19"/>
      <c r="D289" s="19"/>
      <c r="E289" s="8" t="str">
        <f t="array" ref="E289">IF(D289="","",IFERROR(INDEX('Chart of Accounts'!$B:$B,MATCH(D289,'Chart of Accounts'!$A:$A,0)),""))</f>
        <v/>
      </c>
      <c r="F289" s="8" t="str">
        <f t="array" ref="F289">IF(D289="","",IFERROR(INDEX('Chart of Accounts'!$D:$D,MATCH(D289,'Chart of Accounts'!$A:$A,0)),""))</f>
        <v/>
      </c>
      <c r="G289" s="19"/>
      <c r="H289" s="19"/>
      <c r="I289" s="19"/>
      <c r="J289" s="19"/>
    </row>
    <row r="290" ht="15.75" customHeight="1">
      <c r="A290" s="8" t="str">
        <f t="shared" si="1"/>
        <v/>
      </c>
      <c r="B290" s="19"/>
      <c r="C290" s="19"/>
      <c r="D290" s="19"/>
      <c r="E290" s="8" t="str">
        <f t="array" ref="E290">IF(D290="","",IFERROR(INDEX('Chart of Accounts'!$B:$B,MATCH(D290,'Chart of Accounts'!$A:$A,0)),""))</f>
        <v/>
      </c>
      <c r="F290" s="8" t="str">
        <f t="array" ref="F290">IF(D290="","",IFERROR(INDEX('Chart of Accounts'!$D:$D,MATCH(D290,'Chart of Accounts'!$A:$A,0)),""))</f>
        <v/>
      </c>
      <c r="G290" s="19"/>
      <c r="H290" s="19"/>
      <c r="I290" s="19"/>
      <c r="J290" s="19"/>
    </row>
    <row r="291" ht="15.75" customHeight="1">
      <c r="A291" s="8" t="str">
        <f t="shared" si="1"/>
        <v/>
      </c>
      <c r="B291" s="19"/>
      <c r="C291" s="19"/>
      <c r="D291" s="19"/>
      <c r="E291" s="8" t="str">
        <f t="array" ref="E291">IF(D291="","",IFERROR(INDEX('Chart of Accounts'!$B:$B,MATCH(D291,'Chart of Accounts'!$A:$A,0)),""))</f>
        <v/>
      </c>
      <c r="F291" s="8" t="str">
        <f t="array" ref="F291">IF(D291="","",IFERROR(INDEX('Chart of Accounts'!$D:$D,MATCH(D291,'Chart of Accounts'!$A:$A,0)),""))</f>
        <v/>
      </c>
      <c r="G291" s="19"/>
      <c r="H291" s="19"/>
      <c r="I291" s="19"/>
      <c r="J291" s="19"/>
    </row>
    <row r="292" ht="15.75" customHeight="1">
      <c r="A292" s="8" t="str">
        <f t="shared" si="1"/>
        <v/>
      </c>
      <c r="B292" s="19"/>
      <c r="C292" s="19"/>
      <c r="D292" s="19"/>
      <c r="E292" s="8" t="str">
        <f t="array" ref="E292">IF(D292="","",IFERROR(INDEX('Chart of Accounts'!$B:$B,MATCH(D292,'Chart of Accounts'!$A:$A,0)),""))</f>
        <v/>
      </c>
      <c r="F292" s="8" t="str">
        <f t="array" ref="F292">IF(D292="","",IFERROR(INDEX('Chart of Accounts'!$D:$D,MATCH(D292,'Chart of Accounts'!$A:$A,0)),""))</f>
        <v/>
      </c>
      <c r="G292" s="19"/>
      <c r="H292" s="19"/>
      <c r="I292" s="19"/>
      <c r="J292" s="19"/>
    </row>
    <row r="293" ht="15.75" customHeight="1">
      <c r="A293" s="8" t="str">
        <f t="shared" si="1"/>
        <v/>
      </c>
      <c r="B293" s="19"/>
      <c r="C293" s="19"/>
      <c r="D293" s="19"/>
      <c r="E293" s="8" t="str">
        <f t="array" ref="E293">IF(D293="","",IFERROR(INDEX('Chart of Accounts'!$B:$B,MATCH(D293,'Chart of Accounts'!$A:$A,0)),""))</f>
        <v/>
      </c>
      <c r="F293" s="8" t="str">
        <f t="array" ref="F293">IF(D293="","",IFERROR(INDEX('Chart of Accounts'!$D:$D,MATCH(D293,'Chart of Accounts'!$A:$A,0)),""))</f>
        <v/>
      </c>
      <c r="G293" s="19"/>
      <c r="H293" s="19"/>
      <c r="I293" s="19"/>
      <c r="J293" s="19"/>
    </row>
    <row r="294" ht="15.75" customHeight="1">
      <c r="A294" s="8" t="str">
        <f t="shared" si="1"/>
        <v/>
      </c>
      <c r="B294" s="19"/>
      <c r="C294" s="19"/>
      <c r="D294" s="19"/>
      <c r="E294" s="8" t="str">
        <f t="array" ref="E294">IF(D294="","",IFERROR(INDEX('Chart of Accounts'!$B:$B,MATCH(D294,'Chart of Accounts'!$A:$A,0)),""))</f>
        <v/>
      </c>
      <c r="F294" s="8" t="str">
        <f t="array" ref="F294">IF(D294="","",IFERROR(INDEX('Chart of Accounts'!$D:$D,MATCH(D294,'Chart of Accounts'!$A:$A,0)),""))</f>
        <v/>
      </c>
      <c r="G294" s="19"/>
      <c r="H294" s="19"/>
      <c r="I294" s="19"/>
      <c r="J294" s="19"/>
    </row>
    <row r="295" ht="15.75" customHeight="1">
      <c r="A295" s="8" t="str">
        <f t="shared" si="1"/>
        <v/>
      </c>
      <c r="B295" s="19"/>
      <c r="C295" s="19"/>
      <c r="D295" s="19"/>
      <c r="E295" s="8" t="str">
        <f t="array" ref="E295">IF(D295="","",IFERROR(INDEX('Chart of Accounts'!$B:$B,MATCH(D295,'Chart of Accounts'!$A:$A,0)),""))</f>
        <v/>
      </c>
      <c r="F295" s="8" t="str">
        <f t="array" ref="F295">IF(D295="","",IFERROR(INDEX('Chart of Accounts'!$D:$D,MATCH(D295,'Chart of Accounts'!$A:$A,0)),""))</f>
        <v/>
      </c>
      <c r="G295" s="19"/>
      <c r="H295" s="19"/>
      <c r="I295" s="19"/>
      <c r="J295" s="19"/>
    </row>
    <row r="296" ht="15.75" customHeight="1">
      <c r="A296" s="8" t="str">
        <f t="shared" si="1"/>
        <v/>
      </c>
      <c r="B296" s="19"/>
      <c r="C296" s="19"/>
      <c r="D296" s="19"/>
      <c r="E296" s="8" t="str">
        <f t="array" ref="E296">IF(D296="","",IFERROR(INDEX('Chart of Accounts'!$B:$B,MATCH(D296,'Chart of Accounts'!$A:$A,0)),""))</f>
        <v/>
      </c>
      <c r="F296" s="8" t="str">
        <f t="array" ref="F296">IF(D296="","",IFERROR(INDEX('Chart of Accounts'!$D:$D,MATCH(D296,'Chart of Accounts'!$A:$A,0)),""))</f>
        <v/>
      </c>
      <c r="G296" s="19"/>
      <c r="H296" s="19"/>
      <c r="I296" s="19"/>
      <c r="J296" s="19"/>
    </row>
    <row r="297" ht="15.75" customHeight="1">
      <c r="A297" s="8" t="str">
        <f t="shared" si="1"/>
        <v/>
      </c>
      <c r="B297" s="19"/>
      <c r="C297" s="19"/>
      <c r="D297" s="19"/>
      <c r="E297" s="8" t="str">
        <f t="array" ref="E297">IF(D297="","",IFERROR(INDEX('Chart of Accounts'!$B:$B,MATCH(D297,'Chart of Accounts'!$A:$A,0)),""))</f>
        <v/>
      </c>
      <c r="F297" s="8" t="str">
        <f t="array" ref="F297">IF(D297="","",IFERROR(INDEX('Chart of Accounts'!$D:$D,MATCH(D297,'Chart of Accounts'!$A:$A,0)),""))</f>
        <v/>
      </c>
      <c r="G297" s="19"/>
      <c r="H297" s="19"/>
      <c r="I297" s="19"/>
      <c r="J297" s="19"/>
    </row>
    <row r="298" ht="15.75" customHeight="1">
      <c r="A298" s="8" t="str">
        <f t="shared" si="1"/>
        <v/>
      </c>
      <c r="B298" s="19"/>
      <c r="C298" s="19"/>
      <c r="D298" s="19"/>
      <c r="E298" s="8" t="str">
        <f t="array" ref="E298">IF(D298="","",IFERROR(INDEX('Chart of Accounts'!$B:$B,MATCH(D298,'Chart of Accounts'!$A:$A,0)),""))</f>
        <v/>
      </c>
      <c r="F298" s="8" t="str">
        <f t="array" ref="F298">IF(D298="","",IFERROR(INDEX('Chart of Accounts'!$D:$D,MATCH(D298,'Chart of Accounts'!$A:$A,0)),""))</f>
        <v/>
      </c>
      <c r="G298" s="19"/>
      <c r="H298" s="19"/>
      <c r="I298" s="19"/>
      <c r="J298" s="19"/>
    </row>
    <row r="299" ht="15.75" customHeight="1">
      <c r="A299" s="8" t="str">
        <f t="shared" si="1"/>
        <v/>
      </c>
      <c r="B299" s="19"/>
      <c r="C299" s="19"/>
      <c r="D299" s="19"/>
      <c r="E299" s="8" t="str">
        <f t="array" ref="E299">IF(D299="","",IFERROR(INDEX('Chart of Accounts'!$B:$B,MATCH(D299,'Chart of Accounts'!$A:$A,0)),""))</f>
        <v/>
      </c>
      <c r="F299" s="8" t="str">
        <f t="array" ref="F299">IF(D299="","",IFERROR(INDEX('Chart of Accounts'!$D:$D,MATCH(D299,'Chart of Accounts'!$A:$A,0)),""))</f>
        <v/>
      </c>
      <c r="G299" s="19"/>
      <c r="H299" s="19"/>
      <c r="I299" s="19"/>
      <c r="J299" s="19"/>
    </row>
    <row r="300" ht="15.75" customHeight="1">
      <c r="A300" s="8" t="str">
        <f t="shared" si="1"/>
        <v/>
      </c>
      <c r="B300" s="19"/>
      <c r="C300" s="19"/>
      <c r="D300" s="19"/>
      <c r="E300" s="8" t="str">
        <f t="array" ref="E300">IF(D300="","",IFERROR(INDEX('Chart of Accounts'!$B:$B,MATCH(D300,'Chart of Accounts'!$A:$A,0)),""))</f>
        <v/>
      </c>
      <c r="F300" s="8" t="str">
        <f t="array" ref="F300">IF(D300="","",IFERROR(INDEX('Chart of Accounts'!$D:$D,MATCH(D300,'Chart of Accounts'!$A:$A,0)),""))</f>
        <v/>
      </c>
      <c r="G300" s="19"/>
      <c r="H300" s="19"/>
      <c r="I300" s="19"/>
      <c r="J300" s="19"/>
    </row>
    <row r="301" ht="15.75" customHeight="1"/>
    <row r="302" ht="15.75" customHeight="1">
      <c r="F302" s="2" t="s">
        <v>94</v>
      </c>
      <c r="G302" s="2">
        <f t="shared" ref="G302:H302" si="2">SUM(G2:G300)</f>
        <v>26200</v>
      </c>
      <c r="H302" s="2">
        <f t="shared" si="2"/>
        <v>26200</v>
      </c>
    </row>
    <row r="303" ht="15.75" customHeight="1">
      <c r="F303" s="2" t="s">
        <v>103</v>
      </c>
      <c r="G303" s="2">
        <f>G302-H302</f>
        <v>0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300">
      <formula1>'Chart of Accounts'!$A$2:$A$90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6.57"/>
    <col customWidth="1" min="3" max="5" width="16.0"/>
    <col customWidth="1" min="6" max="6" width="23.29"/>
    <col customWidth="1" min="7" max="7" width="18.0"/>
    <col customWidth="1" min="8" max="26" width="8.71"/>
  </cols>
  <sheetData>
    <row r="1" ht="33.75" customHeight="1">
      <c r="A1" s="3" t="s">
        <v>118</v>
      </c>
      <c r="B1" s="3" t="s">
        <v>121</v>
      </c>
      <c r="C1" s="3" t="s">
        <v>123</v>
      </c>
      <c r="D1" s="3" t="s">
        <v>6</v>
      </c>
      <c r="E1" s="3" t="s">
        <v>126</v>
      </c>
      <c r="F1" s="3" t="s">
        <v>129</v>
      </c>
      <c r="G1" s="3" t="s">
        <v>130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6" t="s">
        <v>141</v>
      </c>
      <c r="B2" s="16" t="s">
        <v>189</v>
      </c>
      <c r="C2" s="16" t="s">
        <v>190</v>
      </c>
      <c r="D2" s="16" t="s">
        <v>52</v>
      </c>
      <c r="E2" s="16" t="s">
        <v>191</v>
      </c>
      <c r="F2" s="18">
        <f>SUMIF('Inventory Ledger'!$B$2:$B$200,A2,'Inventory Ledger'!$F$2:$F$200)-SUMIF('Inventory Ledger'!$B$2:$B$200,A2,'Inventory Ledger'!$H$2:$H$200)</f>
        <v>0</v>
      </c>
      <c r="G2" s="18">
        <f>IFERROR((SUMIF('Inventory Ledger'!$B$2:$B$200,A2,'Inventory Ledger'!$G$2:$G$200)-SUMIF('Inventory Ledger'!$B$2:$B$200,A2,'Inventory Ledger'!$I$2:$I$200))/F2,0)</f>
        <v>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 t="s">
        <v>195</v>
      </c>
      <c r="B3" s="16" t="s">
        <v>196</v>
      </c>
      <c r="C3" s="16" t="s">
        <v>190</v>
      </c>
      <c r="D3" s="16" t="s">
        <v>52</v>
      </c>
      <c r="E3" s="16" t="s">
        <v>191</v>
      </c>
      <c r="F3" s="18">
        <f>SUMIF('Inventory Ledger'!$B$2:$B$200,A3,'Inventory Ledger'!$F$2:$F$200)-SUMIF('Inventory Ledger'!$B$2:$B$200,A3,'Inventory Ledger'!$H$2:$H$200)</f>
        <v>0</v>
      </c>
      <c r="G3" s="18">
        <f>IFERROR((SUMIF('Inventory Ledger'!$B$2:$B$200,A3,'Inventory Ledger'!$G$2:$G$200)-SUMIF('Inventory Ledger'!$B$2:$B$200,A3,'Inventory Ledger'!$I$2:$I$200))/F3,0)</f>
        <v>0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6" t="s">
        <v>179</v>
      </c>
      <c r="B4" s="16" t="s">
        <v>197</v>
      </c>
      <c r="C4" s="16" t="s">
        <v>198</v>
      </c>
      <c r="D4" s="16" t="s">
        <v>52</v>
      </c>
      <c r="E4" s="16" t="s">
        <v>199</v>
      </c>
      <c r="F4" s="18">
        <f>SUMIF('Inventory Ledger'!$B$2:$B$200,A4,'Inventory Ledger'!$F$2:$F$200)-SUMIF('Inventory Ledger'!$B$2:$B$200,A4,'Inventory Ledger'!$H$2:$H$200)</f>
        <v>0</v>
      </c>
      <c r="G4" s="18">
        <f>IFERROR((SUMIF('Inventory Ledger'!$B$2:$B$200,A4,'Inventory Ledger'!$G$2:$G$200)-SUMIF('Inventory Ledger'!$B$2:$B$200,A4,'Inventory Ledger'!$I$2:$I$200))/F4,0)</f>
        <v>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6" t="s">
        <v>193</v>
      </c>
      <c r="B5" s="16" t="s">
        <v>201</v>
      </c>
      <c r="C5" s="16" t="s">
        <v>198</v>
      </c>
      <c r="D5" s="16" t="s">
        <v>52</v>
      </c>
      <c r="E5" s="16" t="s">
        <v>199</v>
      </c>
      <c r="F5" s="18">
        <f>SUMIF('Inventory Ledger'!$B$2:$B$200,A5,'Inventory Ledger'!$F$2:$F$200)-SUMIF('Inventory Ledger'!$B$2:$B$200,A5,'Inventory Ledger'!$H$2:$H$200)</f>
        <v>0</v>
      </c>
      <c r="G5" s="18">
        <f>IFERROR((SUMIF('Inventory Ledger'!$B$2:$B$200,A5,'Inventory Ledger'!$G$2:$G$200)-SUMIF('Inventory Ledger'!$B$2:$B$200,A5,'Inventory Ledger'!$I$2:$I$200))/F5,0)</f>
        <v>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6" t="s">
        <v>200</v>
      </c>
      <c r="B6" s="16" t="s">
        <v>203</v>
      </c>
      <c r="C6" s="16" t="s">
        <v>204</v>
      </c>
      <c r="D6" s="16" t="s">
        <v>52</v>
      </c>
      <c r="E6" s="16" t="s">
        <v>199</v>
      </c>
      <c r="F6" s="18">
        <f>SUMIF('Inventory Ledger'!$B$2:$B$200,A6,'Inventory Ledger'!$F$2:$F$200)-SUMIF('Inventory Ledger'!$B$2:$B$200,A6,'Inventory Ledger'!$H$2:$H$200)</f>
        <v>0</v>
      </c>
      <c r="G6" s="18">
        <f>IFERROR((SUMIF('Inventory Ledger'!$B$2:$B$200,A6,'Inventory Ledger'!$G$2:$G$200)-SUMIF('Inventory Ledger'!$B$2:$B$200,A6,'Inventory Ledger'!$I$2:$I$200))/F6,0)</f>
        <v>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6" t="s">
        <v>202</v>
      </c>
      <c r="B7" s="16" t="s">
        <v>205</v>
      </c>
      <c r="C7" s="16" t="s">
        <v>56</v>
      </c>
      <c r="D7" s="16" t="s">
        <v>56</v>
      </c>
      <c r="E7" s="16" t="s">
        <v>199</v>
      </c>
      <c r="F7" s="18">
        <f>SUMIF('Inventory Ledger'!$B$2:$B$200,A7,'Inventory Ledger'!$F$2:$F$200)-SUMIF('Inventory Ledger'!$B$2:$B$200,A7,'Inventory Ledger'!$H$2:$H$200)</f>
        <v>0</v>
      </c>
      <c r="G7" s="18">
        <f>IFERROR((SUMIF('Inventory Ledger'!$B$2:$B$200,A7,'Inventory Ledger'!$G$2:$G$200)-SUMIF('Inventory Ledger'!$B$2:$B$200,A7,'Inventory Ledger'!$I$2:$I$200))/F7,0)</f>
        <v>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1" t="s">
        <v>206</v>
      </c>
      <c r="B8" s="21" t="s">
        <v>207</v>
      </c>
      <c r="C8" s="21" t="s">
        <v>208</v>
      </c>
      <c r="D8" s="21" t="s">
        <v>58</v>
      </c>
      <c r="E8" s="21" t="s">
        <v>199</v>
      </c>
      <c r="F8" s="22">
        <f>SUMIF('Inventory Ledger'!$B$2:$B$200,A8,'Inventory Ledger'!$F$2:$F$200)-SUMIF('Inventory Ledger'!$B$2:$B$200,A8,'Inventory Ledger'!$H$2:$H$200)</f>
        <v>0</v>
      </c>
      <c r="G8" s="22">
        <f>IFERROR((SUMIF('Inventory Ledger'!$B$2:$B$200,A8,'Inventory Ledger'!$G$2:$G$200)-SUMIF('Inventory Ledger'!$B$2:$B$200,A8,'Inventory Ledger'!$I$2:$I$200))/F8,0)</f>
        <v>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3" t="s">
        <v>209</v>
      </c>
      <c r="B9" s="23" t="s">
        <v>210</v>
      </c>
      <c r="C9" s="23" t="s">
        <v>211</v>
      </c>
      <c r="D9" s="23" t="s">
        <v>36</v>
      </c>
      <c r="E9" s="23" t="s">
        <v>199</v>
      </c>
      <c r="F9" s="24">
        <f>SUMIF('Inventory Ledger'!$B$2:$B$200,A9,'Inventory Ledger'!$F$2:$F$200)-SUMIF('Inventory Ledger'!$B$2:$B$200,A9,'Inventory Ledger'!$H$2:$H$200)</f>
        <v>0</v>
      </c>
      <c r="G9" s="24">
        <f>IFERROR((SUMIF('Inventory Ledger'!$B$2:$B$200,A9,'Inventory Ledger'!$G$2:$G$200)-SUMIF('Inventory Ledger'!$B$2:$B$200,A9,'Inventory Ledger'!$I$2:$I$200))/F9,0)</f>
        <v>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 t="s">
        <v>165</v>
      </c>
      <c r="B10" s="12" t="s">
        <v>212</v>
      </c>
      <c r="C10" s="12" t="s">
        <v>190</v>
      </c>
      <c r="D10" s="12" t="s">
        <v>52</v>
      </c>
      <c r="E10" s="12" t="s">
        <v>213</v>
      </c>
      <c r="F10" s="24">
        <f>SUMIF('Inventory Ledger'!$B$2:$B$200,A10,'Inventory Ledger'!$F$2:$F$200)-SUMIF('Inventory Ledger'!$B$2:$B$200,A10,'Inventory Ledger'!$H$2:$H$200)</f>
        <v>0</v>
      </c>
      <c r="G10" s="24">
        <f>IFERROR((SUMIF('Inventory Ledger'!$B$2:$B$200,A10,'Inventory Ledger'!$G$2:$G$200)-SUMIF('Inventory Ledger'!$B$2:$B$200,A10,'Inventory Ledger'!$I$2:$I$200))/F10,0)</f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180</v>
      </c>
      <c r="B11" s="12" t="s">
        <v>214</v>
      </c>
      <c r="C11" s="12" t="s">
        <v>190</v>
      </c>
      <c r="D11" s="12" t="s">
        <v>52</v>
      </c>
      <c r="E11" s="12" t="s">
        <v>213</v>
      </c>
      <c r="F11" s="24">
        <f>SUMIF('Inventory Ledger'!$B$2:$B$200,A11,'Inventory Ledger'!$F$2:$F$200)-SUMIF('Inventory Ledger'!$B$2:$B$200,A11,'Inventory Ledger'!$H$2:$H$200)</f>
        <v>0</v>
      </c>
      <c r="G11" s="24">
        <f>IFERROR((SUMIF('Inventory Ledger'!$B$2:$B$200,A11,'Inventory Ledger'!$G$2:$G$200)-SUMIF('Inventory Ledger'!$B$2:$B$200,A11,'Inventory Ledger'!$I$2:$I$200))/F11,0)</f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 t="s">
        <v>183</v>
      </c>
      <c r="B12" s="12" t="s">
        <v>215</v>
      </c>
      <c r="C12" s="12" t="s">
        <v>190</v>
      </c>
      <c r="D12" s="12" t="s">
        <v>52</v>
      </c>
      <c r="E12" s="12" t="s">
        <v>213</v>
      </c>
      <c r="F12" s="24">
        <f>SUMIF('Inventory Ledger'!$B$2:$B$200,A12,'Inventory Ledger'!$F$2:$F$200)-SUMIF('Inventory Ledger'!$B$2:$B$200,A12,'Inventory Ledger'!$H$2:$H$200)</f>
        <v>790</v>
      </c>
      <c r="G12" s="24">
        <f>IFERROR((SUMIF('Inventory Ledger'!$B$2:$B$200,A12,'Inventory Ledger'!$G$2:$G$200)-SUMIF('Inventory Ledger'!$B$2:$B$200,A12,'Inventory Ledger'!$I$2:$I$200))/F12,0)</f>
        <v>32.27848101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186</v>
      </c>
      <c r="B13" s="12" t="s">
        <v>216</v>
      </c>
      <c r="C13" s="12" t="s">
        <v>190</v>
      </c>
      <c r="D13" s="12" t="s">
        <v>52</v>
      </c>
      <c r="E13" s="12" t="s">
        <v>213</v>
      </c>
      <c r="F13" s="24">
        <f>SUMIF('Inventory Ledger'!$B$2:$B$200,A13,'Inventory Ledger'!$F$2:$F$200)-SUMIF('Inventory Ledger'!$B$2:$B$200,A13,'Inventory Ledger'!$H$2:$H$200)</f>
        <v>0</v>
      </c>
      <c r="G13" s="24">
        <f>IFERROR((SUMIF('Inventory Ledger'!$B$2:$B$200,A13,'Inventory Ledger'!$G$2:$G$200)-SUMIF('Inventory Ledger'!$B$2:$B$200,A13,'Inventory Ledger'!$I$2:$I$200))/F13,0)</f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188</v>
      </c>
      <c r="B14" s="12" t="s">
        <v>217</v>
      </c>
      <c r="C14" s="12" t="s">
        <v>190</v>
      </c>
      <c r="D14" s="12" t="s">
        <v>52</v>
      </c>
      <c r="E14" s="12" t="s">
        <v>213</v>
      </c>
      <c r="F14" s="24">
        <f>SUMIF('Inventory Ledger'!$B$2:$B$200,A14,'Inventory Ledger'!$F$2:$F$200)-SUMIF('Inventory Ledger'!$B$2:$B$200,A14,'Inventory Ledger'!$H$2:$H$200)</f>
        <v>0</v>
      </c>
      <c r="G14" s="24">
        <f>IFERROR((SUMIF('Inventory Ledger'!$B$2:$B$200,A14,'Inventory Ledger'!$G$2:$G$200)-SUMIF('Inventory Ledger'!$B$2:$B$200,A14,'Inventory Ledger'!$I$2:$I$200))/F14,0)</f>
        <v>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 t="s">
        <v>228</v>
      </c>
      <c r="B15" s="12" t="s">
        <v>229</v>
      </c>
      <c r="C15" s="12" t="s">
        <v>190</v>
      </c>
      <c r="D15" s="12" t="s">
        <v>52</v>
      </c>
      <c r="E15" s="12" t="s">
        <v>213</v>
      </c>
      <c r="F15" s="24">
        <f>SUMIF('Inventory Ledger'!$B$2:$B$200,A15,'Inventory Ledger'!$F$2:$F$200)-SUMIF('Inventory Ledger'!$B$2:$B$200,A15,'Inventory Ledger'!$H$2:$H$200)</f>
        <v>0</v>
      </c>
      <c r="G15" s="24">
        <f>IFERROR((SUMIF('Inventory Ledger'!$B$2:$B$200,A15,'Inventory Ledger'!$G$2:$G$200)-SUMIF('Inventory Ledger'!$B$2:$B$200,A15,'Inventory Ledger'!$I$2:$I$200))/F15,0)</f>
        <v>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232</v>
      </c>
      <c r="B16" s="12" t="s">
        <v>233</v>
      </c>
      <c r="C16" s="12" t="s">
        <v>190</v>
      </c>
      <c r="D16" s="12" t="s">
        <v>52</v>
      </c>
      <c r="E16" s="12" t="s">
        <v>213</v>
      </c>
      <c r="F16" s="24">
        <f>SUMIF('Inventory Ledger'!$B$2:$B$200,A16,'Inventory Ledger'!$F$2:$F$200)-SUMIF('Inventory Ledger'!$B$2:$B$200,A16,'Inventory Ledger'!$H$2:$H$200)</f>
        <v>0</v>
      </c>
      <c r="G16" s="24">
        <f>IFERROR((SUMIF('Inventory Ledger'!$B$2:$B$200,A16,'Inventory Ledger'!$G$2:$G$200)-SUMIF('Inventory Ledger'!$B$2:$B$200,A16,'Inventory Ledger'!$I$2:$I$200))/F16,0)</f>
        <v>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234</v>
      </c>
      <c r="B17" s="12" t="s">
        <v>235</v>
      </c>
      <c r="C17" s="12" t="s">
        <v>190</v>
      </c>
      <c r="D17" s="12" t="s">
        <v>52</v>
      </c>
      <c r="E17" s="12" t="s">
        <v>213</v>
      </c>
      <c r="F17" s="24">
        <f>SUMIF('Inventory Ledger'!$B$2:$B$200,A17,'Inventory Ledger'!$F$2:$F$200)-SUMIF('Inventory Ledger'!$B$2:$B$200,A17,'Inventory Ledger'!$H$2:$H$200)</f>
        <v>0</v>
      </c>
      <c r="G17" s="24">
        <f>IFERROR((SUMIF('Inventory Ledger'!$B$2:$B$200,A17,'Inventory Ledger'!$G$2:$G$200)-SUMIF('Inventory Ledger'!$B$2:$B$200,A17,'Inventory Ledger'!$I$2:$I$200))/F17,0)</f>
        <v>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 t="s">
        <v>236</v>
      </c>
      <c r="B18" s="12" t="s">
        <v>237</v>
      </c>
      <c r="C18" s="12" t="s">
        <v>190</v>
      </c>
      <c r="D18" s="12" t="s">
        <v>52</v>
      </c>
      <c r="E18" s="12" t="s">
        <v>213</v>
      </c>
      <c r="F18" s="24">
        <f>SUMIF('Inventory Ledger'!$B$2:$B$200,A18,'Inventory Ledger'!$F$2:$F$200)-SUMIF('Inventory Ledger'!$B$2:$B$200,A18,'Inventory Ledger'!$H$2:$H$200)</f>
        <v>0</v>
      </c>
      <c r="G18" s="24">
        <f>IFERROR((SUMIF('Inventory Ledger'!$B$2:$B$200,A18,'Inventory Ledger'!$G$2:$G$200)-SUMIF('Inventory Ledger'!$B$2:$B$200,A18,'Inventory Ledger'!$I$2:$I$200))/F18,0)</f>
        <v>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 t="s">
        <v>238</v>
      </c>
      <c r="B19" s="12" t="s">
        <v>239</v>
      </c>
      <c r="C19" s="12" t="s">
        <v>190</v>
      </c>
      <c r="D19" s="12" t="s">
        <v>52</v>
      </c>
      <c r="E19" s="12" t="s">
        <v>213</v>
      </c>
      <c r="F19" s="24">
        <f>SUMIF('Inventory Ledger'!$B$2:$B$200,A19,'Inventory Ledger'!$F$2:$F$200)-SUMIF('Inventory Ledger'!$B$2:$B$200,A19,'Inventory Ledger'!$H$2:$H$200)</f>
        <v>0</v>
      </c>
      <c r="G19" s="24">
        <f>IFERROR((SUMIF('Inventory Ledger'!$B$2:$B$200,A19,'Inventory Ledger'!$G$2:$G$200)-SUMIF('Inventory Ledger'!$B$2:$B$200,A19,'Inventory Ledger'!$I$2:$I$200))/F19,0)</f>
        <v>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240</v>
      </c>
      <c r="B20" s="12" t="s">
        <v>241</v>
      </c>
      <c r="C20" s="12" t="s">
        <v>190</v>
      </c>
      <c r="D20" s="12" t="s">
        <v>52</v>
      </c>
      <c r="E20" s="12" t="s">
        <v>213</v>
      </c>
      <c r="F20" s="24">
        <f>SUMIF('Inventory Ledger'!$B$2:$B$200,A20,'Inventory Ledger'!$F$2:$F$200)-SUMIF('Inventory Ledger'!$B$2:$B$200,A20,'Inventory Ledger'!$H$2:$H$200)</f>
        <v>0</v>
      </c>
      <c r="G20" s="24">
        <f>IFERROR((SUMIF('Inventory Ledger'!$B$2:$B$200,A20,'Inventory Ledger'!$G$2:$G$200)-SUMIF('Inventory Ledger'!$B$2:$B$200,A20,'Inventory Ledger'!$I$2:$I$200))/F20,0)</f>
        <v>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2" t="s">
        <v>242</v>
      </c>
      <c r="B21" s="12" t="s">
        <v>243</v>
      </c>
      <c r="C21" s="12" t="s">
        <v>190</v>
      </c>
      <c r="D21" s="12" t="s">
        <v>52</v>
      </c>
      <c r="E21" s="12" t="s">
        <v>213</v>
      </c>
      <c r="F21" s="24">
        <f>SUMIF('Inventory Ledger'!$B$2:$B$200,A21,'Inventory Ledger'!$F$2:$F$200)-SUMIF('Inventory Ledger'!$B$2:$B$200,A21,'Inventory Ledger'!$H$2:$H$200)</f>
        <v>0</v>
      </c>
      <c r="G21" s="24">
        <f>IFERROR((SUMIF('Inventory Ledger'!$B$2:$B$200,A21,'Inventory Ledger'!$G$2:$G$200)-SUMIF('Inventory Ledger'!$B$2:$B$200,A21,'Inventory Ledger'!$I$2:$I$200))/F21,0)</f>
        <v>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2" t="s">
        <v>246</v>
      </c>
      <c r="B22" s="12" t="s">
        <v>247</v>
      </c>
      <c r="C22" s="12" t="s">
        <v>190</v>
      </c>
      <c r="D22" s="12" t="s">
        <v>52</v>
      </c>
      <c r="E22" s="12" t="s">
        <v>213</v>
      </c>
      <c r="F22" s="24">
        <f>SUMIF('Inventory Ledger'!$B$2:$B$200,A22,'Inventory Ledger'!$F$2:$F$200)-SUMIF('Inventory Ledger'!$B$2:$B$200,A22,'Inventory Ledger'!$H$2:$H$200)</f>
        <v>0</v>
      </c>
      <c r="G22" s="24">
        <f>IFERROR((SUMIF('Inventory Ledger'!$B$2:$B$200,A22,'Inventory Ledger'!$G$2:$G$200)-SUMIF('Inventory Ledger'!$B$2:$B$200,A22,'Inventory Ledger'!$I$2:$I$200))/F22,0)</f>
        <v>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2" t="s">
        <v>248</v>
      </c>
      <c r="B23" s="12" t="s">
        <v>249</v>
      </c>
      <c r="C23" s="12" t="s">
        <v>190</v>
      </c>
      <c r="D23" s="12" t="s">
        <v>52</v>
      </c>
      <c r="E23" s="12" t="s">
        <v>213</v>
      </c>
      <c r="F23" s="24">
        <f>SUMIF('Inventory Ledger'!$B$2:$B$200,A23,'Inventory Ledger'!$F$2:$F$200)-SUMIF('Inventory Ledger'!$B$2:$B$200,A23,'Inventory Ledger'!$H$2:$H$200)</f>
        <v>500</v>
      </c>
      <c r="G23" s="24">
        <f>IFERROR((SUMIF('Inventory Ledger'!$B$2:$B$200,A23,'Inventory Ledger'!$G$2:$G$200)-SUMIF('Inventory Ledger'!$B$2:$B$200,A23,'Inventory Ledger'!$I$2:$I$200))/F23,0)</f>
        <v>1500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2" t="s">
        <v>250</v>
      </c>
      <c r="B24" s="12" t="s">
        <v>251</v>
      </c>
      <c r="C24" s="12" t="s">
        <v>190</v>
      </c>
      <c r="D24" s="12" t="s">
        <v>52</v>
      </c>
      <c r="E24" s="12" t="s">
        <v>213</v>
      </c>
      <c r="F24" s="24">
        <f>SUMIF('Inventory Ledger'!$B$2:$B$200,A24,'Inventory Ledger'!$F$2:$F$200)-SUMIF('Inventory Ledger'!$B$2:$B$200,A24,'Inventory Ledger'!$H$2:$H$200)</f>
        <v>0</v>
      </c>
      <c r="G24" s="24">
        <f>IFERROR((SUMIF('Inventory Ledger'!$B$2:$B$200,A24,'Inventory Ledger'!$G$2:$G$200)-SUMIF('Inventory Ledger'!$B$2:$B$200,A24,'Inventory Ledger'!$I$2:$I$200))/F24,0)</f>
        <v>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2" t="s">
        <v>252</v>
      </c>
      <c r="B25" s="12" t="s">
        <v>253</v>
      </c>
      <c r="C25" s="26" t="s">
        <v>204</v>
      </c>
      <c r="D25" s="26" t="s">
        <v>58</v>
      </c>
      <c r="E25" s="12" t="s">
        <v>254</v>
      </c>
      <c r="F25" s="24">
        <f>SUMIF('Inventory Ledger'!$B$2:$B$200,A25,'Inventory Ledger'!$F$2:$F$200)-SUMIF('Inventory Ledger'!$B$2:$B$200,A25,'Inventory Ledger'!$H$2:$H$200)</f>
        <v>0</v>
      </c>
      <c r="G25" s="24">
        <f>IFERROR((SUMIF('Inventory Ledger'!$B$2:$B$200,A25,'Inventory Ledger'!$G$2:$G$200)-SUMIF('Inventory Ledger'!$B$2:$B$200,A25,'Inventory Ledger'!$I$2:$I$200))/F25,0)</f>
        <v>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2" t="s">
        <v>255</v>
      </c>
      <c r="B26" s="12" t="s">
        <v>256</v>
      </c>
      <c r="C26" s="26" t="s">
        <v>204</v>
      </c>
      <c r="D26" s="26" t="s">
        <v>58</v>
      </c>
      <c r="E26" s="12" t="s">
        <v>254</v>
      </c>
      <c r="F26" s="24">
        <f>SUMIF('Inventory Ledger'!$B$2:$B$200,A26,'Inventory Ledger'!$F$2:$F$200)-SUMIF('Inventory Ledger'!$B$2:$B$200,A26,'Inventory Ledger'!$H$2:$H$200)</f>
        <v>0</v>
      </c>
      <c r="G26" s="24">
        <f>IFERROR((SUMIF('Inventory Ledger'!$B$2:$B$200,A26,'Inventory Ledger'!$G$2:$G$200)-SUMIF('Inventory Ledger'!$B$2:$B$200,A26,'Inventory Ledger'!$I$2:$I$200))/F26,0)</f>
        <v>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2" t="s">
        <v>163</v>
      </c>
      <c r="B27" s="12" t="s">
        <v>258</v>
      </c>
      <c r="C27" s="26" t="s">
        <v>204</v>
      </c>
      <c r="D27" s="26" t="s">
        <v>58</v>
      </c>
      <c r="E27" s="12" t="s">
        <v>254</v>
      </c>
      <c r="F27" s="24">
        <f>SUMIF('Inventory Ledger'!$B$2:$B$200,A27,'Inventory Ledger'!$F$2:$F$200)-SUMIF('Inventory Ledger'!$B$2:$B$200,A27,'Inventory Ledger'!$H$2:$H$200)</f>
        <v>0</v>
      </c>
      <c r="G27" s="24">
        <f>IFERROR((SUMIF('Inventory Ledger'!$B$2:$B$200,A27,'Inventory Ledger'!$G$2:$G$200)-SUMIF('Inventory Ledger'!$B$2:$B$200,A27,'Inventory Ledger'!$I$2:$I$200))/F27,0)</f>
        <v>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2" t="s">
        <v>260</v>
      </c>
      <c r="B28" s="12" t="s">
        <v>261</v>
      </c>
      <c r="C28" s="26" t="s">
        <v>204</v>
      </c>
      <c r="D28" s="26" t="s">
        <v>58</v>
      </c>
      <c r="E28" s="12" t="s">
        <v>254</v>
      </c>
      <c r="F28" s="24">
        <f>SUMIF('Inventory Ledger'!$B$2:$B$200,A28,'Inventory Ledger'!$F$2:$F$200)-SUMIF('Inventory Ledger'!$B$2:$B$200,A28,'Inventory Ledger'!$H$2:$H$200)</f>
        <v>0</v>
      </c>
      <c r="G28" s="24">
        <f>IFERROR((SUMIF('Inventory Ledger'!$B$2:$B$200,A28,'Inventory Ledger'!$G$2:$G$200)-SUMIF('Inventory Ledger'!$B$2:$B$200,A28,'Inventory Ledger'!$I$2:$I$200))/F28,0)</f>
        <v>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2" t="s">
        <v>264</v>
      </c>
      <c r="B29" s="12" t="s">
        <v>265</v>
      </c>
      <c r="C29" s="26" t="s">
        <v>204</v>
      </c>
      <c r="D29" s="26" t="s">
        <v>58</v>
      </c>
      <c r="E29" s="12" t="s">
        <v>254</v>
      </c>
      <c r="F29" s="24">
        <f>SUMIF('Inventory Ledger'!$B$2:$B$200,A29,'Inventory Ledger'!$F$2:$F$200)-SUMIF('Inventory Ledger'!$B$2:$B$200,A29,'Inventory Ledger'!$H$2:$H$200)</f>
        <v>0</v>
      </c>
      <c r="G29" s="24">
        <f>IFERROR((SUMIF('Inventory Ledger'!$B$2:$B$200,A29,'Inventory Ledger'!$G$2:$G$200)-SUMIF('Inventory Ledger'!$B$2:$B$200,A29,'Inventory Ledger'!$I$2:$I$200))/F29,0)</f>
        <v>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2" t="s">
        <v>266</v>
      </c>
      <c r="B30" s="12" t="s">
        <v>267</v>
      </c>
      <c r="C30" s="26" t="s">
        <v>204</v>
      </c>
      <c r="D30" s="26" t="s">
        <v>58</v>
      </c>
      <c r="E30" s="12" t="s">
        <v>254</v>
      </c>
      <c r="F30" s="24">
        <f>SUMIF('Inventory Ledger'!$B$2:$B$200,A30,'Inventory Ledger'!$F$2:$F$200)-SUMIF('Inventory Ledger'!$B$2:$B$200,A30,'Inventory Ledger'!$H$2:$H$200)</f>
        <v>0</v>
      </c>
      <c r="G30" s="24">
        <f>IFERROR((SUMIF('Inventory Ledger'!$B$2:$B$200,A30,'Inventory Ledger'!$G$2:$G$200)-SUMIF('Inventory Ledger'!$B$2:$B$200,A30,'Inventory Ledger'!$I$2:$I$200))/F30,0)</f>
        <v>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2" t="s">
        <v>268</v>
      </c>
      <c r="B31" s="12" t="s">
        <v>269</v>
      </c>
      <c r="C31" s="26" t="s">
        <v>204</v>
      </c>
      <c r="D31" s="26" t="s">
        <v>58</v>
      </c>
      <c r="E31" s="12" t="s">
        <v>254</v>
      </c>
      <c r="F31" s="24">
        <f>SUMIF('Inventory Ledger'!$B$2:$B$200,A31,'Inventory Ledger'!$F$2:$F$200)-SUMIF('Inventory Ledger'!$B$2:$B$200,A31,'Inventory Ledger'!$H$2:$H$200)</f>
        <v>0</v>
      </c>
      <c r="G31" s="24">
        <f>IFERROR((SUMIF('Inventory Ledger'!$B$2:$B$200,A31,'Inventory Ledger'!$G$2:$G$200)-SUMIF('Inventory Ledger'!$B$2:$B$200,A31,'Inventory Ledger'!$I$2:$I$200))/F31,0)</f>
        <v>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2" t="s">
        <v>270</v>
      </c>
      <c r="B32" s="12" t="s">
        <v>271</v>
      </c>
      <c r="C32" s="26" t="s">
        <v>204</v>
      </c>
      <c r="D32" s="26" t="s">
        <v>58</v>
      </c>
      <c r="E32" s="12" t="s">
        <v>254</v>
      </c>
      <c r="F32" s="24">
        <f>SUMIF('Inventory Ledger'!$B$2:$B$200,A32,'Inventory Ledger'!$F$2:$F$200)-SUMIF('Inventory Ledger'!$B$2:$B$200,A32,'Inventory Ledger'!$H$2:$H$200)</f>
        <v>0</v>
      </c>
      <c r="G32" s="24">
        <f>IFERROR((SUMIF('Inventory Ledger'!$B$2:$B$200,A32,'Inventory Ledger'!$G$2:$G$200)-SUMIF('Inventory Ledger'!$B$2:$B$200,A32,'Inventory Ledger'!$I$2:$I$200))/F32,0)</f>
        <v>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2" t="s">
        <v>272</v>
      </c>
      <c r="B33" s="12" t="s">
        <v>273</v>
      </c>
      <c r="C33" s="26" t="s">
        <v>204</v>
      </c>
      <c r="D33" s="26" t="s">
        <v>58</v>
      </c>
      <c r="E33" s="12" t="s">
        <v>254</v>
      </c>
      <c r="F33" s="24">
        <f>SUMIF('Inventory Ledger'!$B$2:$B$200,A33,'Inventory Ledger'!$F$2:$F$200)-SUMIF('Inventory Ledger'!$B$2:$B$200,A33,'Inventory Ledger'!$H$2:$H$200)</f>
        <v>0</v>
      </c>
      <c r="G33" s="24">
        <f>IFERROR((SUMIF('Inventory Ledger'!$B$2:$B$200,A33,'Inventory Ledger'!$G$2:$G$200)-SUMIF('Inventory Ledger'!$B$2:$B$200,A33,'Inventory Ledger'!$I$2:$I$200))/F33,0)</f>
        <v>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2" t="s">
        <v>274</v>
      </c>
      <c r="B34" s="12" t="s">
        <v>275</v>
      </c>
      <c r="C34" s="26" t="s">
        <v>204</v>
      </c>
      <c r="D34" s="26" t="s">
        <v>58</v>
      </c>
      <c r="E34" s="12" t="s">
        <v>254</v>
      </c>
      <c r="F34" s="24">
        <f>SUMIF('Inventory Ledger'!$B$2:$B$200,A34,'Inventory Ledger'!$F$2:$F$200)-SUMIF('Inventory Ledger'!$B$2:$B$200,A34,'Inventory Ledger'!$H$2:$H$200)</f>
        <v>0</v>
      </c>
      <c r="G34" s="24">
        <f>IFERROR((SUMIF('Inventory Ledger'!$B$2:$B$200,A34,'Inventory Ledger'!$G$2:$G$200)-SUMIF('Inventory Ledger'!$B$2:$B$200,A34,'Inventory Ledger'!$I$2:$I$200))/F34,0)</f>
        <v>0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2" t="s">
        <v>194</v>
      </c>
      <c r="B35" s="12" t="s">
        <v>276</v>
      </c>
      <c r="C35" s="12" t="s">
        <v>56</v>
      </c>
      <c r="D35" s="26" t="s">
        <v>56</v>
      </c>
      <c r="E35" s="12" t="s">
        <v>277</v>
      </c>
      <c r="F35" s="24">
        <f>SUMIF('Inventory Ledger'!$B$2:$B$200,A35,'Inventory Ledger'!$F$2:$F$200)-SUMIF('Inventory Ledger'!$B$2:$B$200,A35,'Inventory Ledger'!$H$2:$H$200)</f>
        <v>0</v>
      </c>
      <c r="G35" s="24">
        <f>IFERROR((SUMIF('Inventory Ledger'!$B$2:$B$200,A35,'Inventory Ledger'!$G$2:$G$200)-SUMIF('Inventory Ledger'!$B$2:$B$200,A35,'Inventory Ledger'!$I$2:$I$200))/F35,0)</f>
        <v>0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2" t="s">
        <v>278</v>
      </c>
      <c r="B36" s="12" t="s">
        <v>279</v>
      </c>
      <c r="C36" s="12" t="s">
        <v>56</v>
      </c>
      <c r="D36" s="26" t="s">
        <v>56</v>
      </c>
      <c r="E36" s="12" t="s">
        <v>277</v>
      </c>
      <c r="F36" s="24">
        <f>SUMIF('Inventory Ledger'!$B$2:$B$200,A36,'Inventory Ledger'!$F$2:$F$200)-SUMIF('Inventory Ledger'!$B$2:$B$200,A36,'Inventory Ledger'!$H$2:$H$200)</f>
        <v>0</v>
      </c>
      <c r="G36" s="24">
        <f>IFERROR((SUMIF('Inventory Ledger'!$B$2:$B$200,A36,'Inventory Ledger'!$G$2:$G$200)-SUMIF('Inventory Ledger'!$B$2:$B$200,A36,'Inventory Ledger'!$I$2:$I$200))/F36,0)</f>
        <v>0</v>
      </c>
      <c r="H36" s="11"/>
      <c r="I36" s="27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2" t="s">
        <v>280</v>
      </c>
      <c r="B37" s="12" t="s">
        <v>281</v>
      </c>
      <c r="C37" s="12" t="s">
        <v>56</v>
      </c>
      <c r="D37" s="26" t="s">
        <v>56</v>
      </c>
      <c r="E37" s="12" t="s">
        <v>277</v>
      </c>
      <c r="F37" s="24">
        <f>SUMIF('Inventory Ledger'!$B$2:$B$200,A37,'Inventory Ledger'!$F$2:$F$200)-SUMIF('Inventory Ledger'!$B$2:$B$200,A37,'Inventory Ledger'!$H$2:$H$200)</f>
        <v>0</v>
      </c>
      <c r="G37" s="24">
        <f>IFERROR((SUMIF('Inventory Ledger'!$B$2:$B$200,A37,'Inventory Ledger'!$G$2:$G$200)-SUMIF('Inventory Ledger'!$B$2:$B$200,A37,'Inventory Ledger'!$I$2:$I$200))/F37,0)</f>
        <v>0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2" t="s">
        <v>282</v>
      </c>
      <c r="B38" s="12" t="s">
        <v>283</v>
      </c>
      <c r="C38" s="12" t="s">
        <v>56</v>
      </c>
      <c r="D38" s="26" t="s">
        <v>56</v>
      </c>
      <c r="E38" s="12" t="s">
        <v>277</v>
      </c>
      <c r="F38" s="24">
        <f>SUMIF('Inventory Ledger'!$B$2:$B$200,A38,'Inventory Ledger'!$F$2:$F$200)-SUMIF('Inventory Ledger'!$B$2:$B$200,A38,'Inventory Ledger'!$H$2:$H$200)</f>
        <v>0</v>
      </c>
      <c r="G38" s="24">
        <f>IFERROR((SUMIF('Inventory Ledger'!$B$2:$B$200,A38,'Inventory Ledger'!$G$2:$G$200)-SUMIF('Inventory Ledger'!$B$2:$B$200,A38,'Inventory Ledger'!$I$2:$I$200))/F38,0)</f>
        <v>0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2" t="s">
        <v>284</v>
      </c>
      <c r="B39" s="12" t="s">
        <v>285</v>
      </c>
      <c r="C39" s="12" t="s">
        <v>56</v>
      </c>
      <c r="D39" s="26" t="s">
        <v>56</v>
      </c>
      <c r="E39" s="12" t="s">
        <v>277</v>
      </c>
      <c r="F39" s="24">
        <f>SUMIF('Inventory Ledger'!$B$2:$B$200,A39,'Inventory Ledger'!$F$2:$F$200)-SUMIF('Inventory Ledger'!$B$2:$B$200,A39,'Inventory Ledger'!$H$2:$H$200)</f>
        <v>0</v>
      </c>
      <c r="G39" s="24">
        <f>IFERROR((SUMIF('Inventory Ledger'!$B$2:$B$200,A39,'Inventory Ledger'!$G$2:$G$200)-SUMIF('Inventory Ledger'!$B$2:$B$200,A39,'Inventory Ledger'!$I$2:$I$200))/F39,0)</f>
        <v>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2" t="s">
        <v>286</v>
      </c>
      <c r="B40" s="12" t="s">
        <v>287</v>
      </c>
      <c r="C40" s="12" t="s">
        <v>56</v>
      </c>
      <c r="D40" s="26" t="s">
        <v>56</v>
      </c>
      <c r="E40" s="12" t="s">
        <v>277</v>
      </c>
      <c r="F40" s="24">
        <f>SUMIF('Inventory Ledger'!$B$2:$B$200,A40,'Inventory Ledger'!$F$2:$F$200)-SUMIF('Inventory Ledger'!$B$2:$B$200,A40,'Inventory Ledger'!$H$2:$H$200)</f>
        <v>0</v>
      </c>
      <c r="G40" s="24">
        <f>IFERROR((SUMIF('Inventory Ledger'!$B$2:$B$200,A40,'Inventory Ledger'!$G$2:$G$200)-SUMIF('Inventory Ledger'!$B$2:$B$200,A40,'Inventory Ledger'!$I$2:$I$200))/F40,0)</f>
        <v>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2" t="s">
        <v>288</v>
      </c>
      <c r="B41" s="12" t="s">
        <v>289</v>
      </c>
      <c r="C41" s="12" t="s">
        <v>56</v>
      </c>
      <c r="D41" s="26" t="s">
        <v>56</v>
      </c>
      <c r="E41" s="12" t="s">
        <v>277</v>
      </c>
      <c r="F41" s="24">
        <f>SUMIF('Inventory Ledger'!$B$2:$B$200,A41,'Inventory Ledger'!$F$2:$F$200)-SUMIF('Inventory Ledger'!$B$2:$B$200,A41,'Inventory Ledger'!$H$2:$H$200)</f>
        <v>0</v>
      </c>
      <c r="G41" s="24">
        <f>IFERROR((SUMIF('Inventory Ledger'!$B$2:$B$200,A41,'Inventory Ledger'!$G$2:$G$200)-SUMIF('Inventory Ledger'!$B$2:$B$200,A41,'Inventory Ledger'!$I$2:$I$200))/F41,0)</f>
        <v>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2" t="s">
        <v>290</v>
      </c>
      <c r="B42" s="12" t="s">
        <v>291</v>
      </c>
      <c r="C42" s="12" t="s">
        <v>56</v>
      </c>
      <c r="D42" s="26" t="s">
        <v>56</v>
      </c>
      <c r="E42" s="12" t="s">
        <v>277</v>
      </c>
      <c r="F42" s="24">
        <f>SUMIF('Inventory Ledger'!$B$2:$B$200,A42,'Inventory Ledger'!$F$2:$F$200)-SUMIF('Inventory Ledger'!$B$2:$B$200,A42,'Inventory Ledger'!$H$2:$H$200)</f>
        <v>0</v>
      </c>
      <c r="G42" s="24">
        <f>IFERROR((SUMIF('Inventory Ledger'!$B$2:$B$200,A42,'Inventory Ledger'!$G$2:$G$200)-SUMIF('Inventory Ledger'!$B$2:$B$200,A42,'Inventory Ledger'!$I$2:$I$200))/F42,0)</f>
        <v>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2" t="s">
        <v>292</v>
      </c>
      <c r="B43" s="12" t="s">
        <v>293</v>
      </c>
      <c r="C43" s="12" t="s">
        <v>56</v>
      </c>
      <c r="D43" s="12" t="s">
        <v>56</v>
      </c>
      <c r="E43" s="12" t="s">
        <v>277</v>
      </c>
      <c r="F43" s="24">
        <f>SUMIF('Inventory Ledger'!$B$2:$B$200,A43,'Inventory Ledger'!$F$2:$F$200)-SUMIF('Inventory Ledger'!$B$2:$B$200,A43,'Inventory Ledger'!$H$2:$H$200)</f>
        <v>0</v>
      </c>
      <c r="G43" s="24">
        <f>IFERROR((SUMIF('Inventory Ledger'!$B$2:$B$200,A43,'Inventory Ledger'!$G$2:$G$200)-SUMIF('Inventory Ledger'!$B$2:$B$200,A43,'Inventory Ledger'!$I$2:$I$200))/F43,0)</f>
        <v>0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2" t="s">
        <v>294</v>
      </c>
      <c r="B44" s="12" t="s">
        <v>295</v>
      </c>
      <c r="C44" s="12" t="s">
        <v>56</v>
      </c>
      <c r="D44" s="12" t="s">
        <v>56</v>
      </c>
      <c r="E44" s="12" t="s">
        <v>296</v>
      </c>
      <c r="F44" s="24">
        <f>SUMIF('Inventory Ledger'!$B$2:$B$200,A44,'Inventory Ledger'!$F$2:$F$200)-SUMIF('Inventory Ledger'!$B$2:$B$200,A44,'Inventory Ledger'!$H$2:$H$200)</f>
        <v>0</v>
      </c>
      <c r="G44" s="24">
        <f>IFERROR((SUMIF('Inventory Ledger'!$B$2:$B$200,A44,'Inventory Ledger'!$G$2:$G$200)-SUMIF('Inventory Ledger'!$B$2:$B$200,A44,'Inventory Ledger'!$I$2:$I$200))/F44,0)</f>
        <v>0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28"/>
      <c r="B45" s="28"/>
      <c r="C45" s="28"/>
      <c r="D45" s="28"/>
      <c r="E45" s="28"/>
      <c r="F45" s="28"/>
      <c r="G45" s="2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8"/>
      <c r="B46" s="28"/>
      <c r="C46" s="28"/>
      <c r="D46" s="28"/>
      <c r="E46" s="28"/>
      <c r="F46" s="28"/>
      <c r="G46" s="2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16.0"/>
    <col customWidth="1" min="4" max="5" width="24.0"/>
    <col customWidth="1" min="6" max="6" width="20.86"/>
    <col customWidth="1" min="7" max="7" width="16.0"/>
    <col customWidth="1" min="8" max="26" width="8.71"/>
  </cols>
  <sheetData>
    <row r="1" ht="33.75" customHeight="1">
      <c r="A1" s="3" t="s">
        <v>156</v>
      </c>
      <c r="B1" s="3" t="s">
        <v>157</v>
      </c>
      <c r="C1" s="3" t="s">
        <v>159</v>
      </c>
      <c r="D1" s="3" t="s">
        <v>160</v>
      </c>
      <c r="E1" s="3" t="s">
        <v>161</v>
      </c>
      <c r="F1" s="3" t="s">
        <v>162</v>
      </c>
      <c r="G1" s="3" t="s">
        <v>126</v>
      </c>
    </row>
    <row r="2">
      <c r="A2" s="12" t="s">
        <v>163</v>
      </c>
      <c r="B2" s="13" t="str">
        <f t="array" ref="B2">IFERROR(INDEX('Item Master'!$B:$B,MATCH(A2,'Item Master'!$A:$A,0)),"")</f>
        <v>NovaCrete PU-MF-C-Filler </v>
      </c>
      <c r="C2" s="14">
        <v>1.0</v>
      </c>
      <c r="D2" s="15" t="s">
        <v>165</v>
      </c>
      <c r="E2" s="13" t="str">
        <f t="array" ref="E2">IFERROR(INDEX('Item Master'!$B:$B,MATCH(D2,'Item Master'!$A:$A,0)),"")</f>
        <v>Sand 30/80</v>
      </c>
      <c r="F2" s="15">
        <v>6.0</v>
      </c>
      <c r="G2" s="13" t="str">
        <f t="array" ref="G2">IFERROR(INDEX('Item Master'!$E:$E,MATCH(D2,'Item Master'!$A:$A,0)),"")</f>
        <v>Kg</v>
      </c>
    </row>
    <row r="3">
      <c r="A3" s="12" t="s">
        <v>163</v>
      </c>
      <c r="B3" s="13" t="str">
        <f t="array" ref="B3">IFERROR(INDEX('Item Master'!$B:$B,MATCH(A3,'Item Master'!$A:$A,0)),"")</f>
        <v>NovaCrete PU-MF-C-Filler </v>
      </c>
      <c r="C3" s="14">
        <v>2.0</v>
      </c>
      <c r="D3" s="15" t="s">
        <v>180</v>
      </c>
      <c r="E3" s="13" t="str">
        <f t="array" ref="E3">IFERROR(INDEX('Item Master'!$B:$B,MATCH(D3,'Item Master'!$A:$A,0)),"")</f>
        <v>Lime 200</v>
      </c>
      <c r="F3" s="14">
        <v>1.0</v>
      </c>
      <c r="G3" s="13" t="str">
        <f t="array" ref="G3">IFERROR(INDEX('Item Master'!$E:$E,MATCH(D3,'Item Master'!$A:$A,0)),"")</f>
        <v>Kg</v>
      </c>
    </row>
    <row r="4">
      <c r="A4" s="12" t="s">
        <v>163</v>
      </c>
      <c r="B4" s="13" t="str">
        <f t="array" ref="B4">IFERROR(INDEX('Item Master'!$B:$B,MATCH(A4,'Item Master'!$A:$A,0)),"")</f>
        <v>NovaCrete PU-MF-C-Filler </v>
      </c>
      <c r="C4" s="15">
        <v>3.0</v>
      </c>
      <c r="D4" s="15" t="s">
        <v>183</v>
      </c>
      <c r="E4" s="13" t="str">
        <f t="array" ref="E4">IFERROR(INDEX('Item Master'!$B:$B,MATCH(D4,'Item Master'!$A:$A,0)),"")</f>
        <v>Elephent Cement</v>
      </c>
      <c r="F4" s="15">
        <v>4.2</v>
      </c>
      <c r="G4" s="13" t="str">
        <f t="array" ref="G4">IFERROR(INDEX('Item Master'!$E:$E,MATCH(D4,'Item Master'!$A:$A,0)),"")</f>
        <v>Kg</v>
      </c>
    </row>
    <row r="5">
      <c r="A5" s="12" t="s">
        <v>163</v>
      </c>
      <c r="B5" s="13" t="str">
        <f t="array" ref="B5">IFERROR(INDEX('Item Master'!$B:$B,MATCH(A5,'Item Master'!$A:$A,0)),"")</f>
        <v>NovaCrete PU-MF-C-Filler </v>
      </c>
      <c r="C5" s="15">
        <v>4.0</v>
      </c>
      <c r="D5" s="15" t="s">
        <v>186</v>
      </c>
      <c r="E5" s="13" t="str">
        <f t="array" ref="E5">IFERROR(INDEX('Item Master'!$B:$B,MATCH(D5,'Item Master'!$A:$A,0)),"")</f>
        <v>H.Lime</v>
      </c>
      <c r="F5" s="15">
        <v>2.0</v>
      </c>
      <c r="G5" s="13" t="str">
        <f t="array" ref="G5">IFERROR(INDEX('Item Master'!$E:$E,MATCH(D5,'Item Master'!$A:$A,0)),"")</f>
        <v>Kg</v>
      </c>
    </row>
    <row r="6">
      <c r="A6" s="12" t="s">
        <v>163</v>
      </c>
      <c r="B6" s="13" t="str">
        <f t="array" ref="B6">IFERROR(INDEX('Item Master'!$B:$B,MATCH(A6,'Item Master'!$A:$A,0)),"")</f>
        <v>NovaCrete PU-MF-C-Filler </v>
      </c>
      <c r="C6" s="15">
        <v>5.0</v>
      </c>
      <c r="D6" s="15" t="s">
        <v>188</v>
      </c>
      <c r="E6" s="13" t="str">
        <f t="array" ref="E6">IFERROR(INDEX('Item Master'!$B:$B,MATCH(D6,'Item Master'!$A:$A,0)),"")</f>
        <v>T2 C/D</v>
      </c>
      <c r="F6" s="15">
        <v>1.0</v>
      </c>
      <c r="G6" s="13" t="str">
        <f t="array" ref="G6">IFERROR(INDEX('Item Master'!$E:$E,MATCH(D6,'Item Master'!$A:$A,0)),"")</f>
        <v>Kg</v>
      </c>
    </row>
    <row r="7">
      <c r="A7" s="12" t="s">
        <v>163</v>
      </c>
      <c r="B7" s="13" t="str">
        <f t="array" ref="B7">IFERROR(INDEX('Item Master'!$B:$B,MATCH(A7,'Item Master'!$A:$A,0)),"")</f>
        <v>NovaCrete PU-MF-C-Filler </v>
      </c>
      <c r="C7" s="17">
        <v>6.0</v>
      </c>
      <c r="D7" s="12" t="s">
        <v>194</v>
      </c>
      <c r="E7" s="13" t="str">
        <f t="array" ref="E7">IFERROR(INDEX('Item Master'!$B:$B,MATCH(D7,'Item Master'!$A:$A,0)),"")</f>
        <v>Filler Bag C Printed</v>
      </c>
      <c r="F7" s="15">
        <v>1.0</v>
      </c>
      <c r="G7" s="13" t="str">
        <f t="array" ref="G7">IFERROR(INDEX('Item Master'!$E:$E,MATCH(D7,'Item Master'!$A:$A,0)),"")</f>
        <v>Pcs.</v>
      </c>
    </row>
    <row r="8">
      <c r="B8" s="13" t="str">
        <f t="array" ref="B8">IFERROR(INDEX('Item Master'!$B:$B,MATCH(A8,'Item Master'!$A:$A,0)),"")</f>
        <v/>
      </c>
    </row>
    <row r="9">
      <c r="B9" s="13" t="str">
        <f t="array" ref="B9">IFERROR(INDEX('Item Master'!$B:$B,MATCH(A9,'Item Master'!$A:$A,0)),"")</f>
        <v/>
      </c>
    </row>
    <row r="10">
      <c r="B10" s="13" t="str">
        <f t="array" ref="B10">IFERROR(INDEX('Item Master'!$B:$B,MATCH(A10,'Item Master'!$A:$A,0)),"")</f>
        <v/>
      </c>
    </row>
    <row r="11">
      <c r="B11" s="13" t="str">
        <f t="array" ref="B11">IFERROR(INDEX('Item Master'!$B:$B,MATCH(A11,'Item Master'!$A:$A,0)),"")</f>
        <v/>
      </c>
    </row>
    <row r="12">
      <c r="B12" s="13" t="str">
        <f t="array" ref="B12">IFERROR(INDEX('Item Master'!$B:$B,MATCH(A12,'Item Master'!$A:$A,0)),"")</f>
        <v/>
      </c>
    </row>
    <row r="13">
      <c r="B13" s="13" t="str">
        <f t="array" ref="B13">IFERROR(INDEX('Item Master'!$B:$B,MATCH(A13,'Item Master'!$A:$A,0)),"")</f>
        <v/>
      </c>
    </row>
    <row r="14">
      <c r="B14" s="13" t="str">
        <f t="array" ref="B14">IFERROR(INDEX('Item Master'!$B:$B,MATCH(A14,'Item Master'!$A:$A,0)),"")</f>
        <v/>
      </c>
    </row>
    <row r="15">
      <c r="B15" s="13" t="str">
        <f t="array" ref="B15">IFERROR(INDEX('Item Master'!$B:$B,MATCH(A15,'Item Master'!$A:$A,0)),"")</f>
        <v/>
      </c>
    </row>
    <row r="16">
      <c r="B16" s="13" t="str">
        <f t="array" ref="B16">IFERROR(INDEX('Item Master'!$B:$B,MATCH(A16,'Item Master'!$A:$A,0)),"")</f>
        <v/>
      </c>
    </row>
    <row r="17">
      <c r="B17" s="13" t="str">
        <f t="array" ref="B17">IFERROR(INDEX('Item Master'!$B:$B,MATCH(A17,'Item Master'!$A:$A,0)),"")</f>
        <v/>
      </c>
    </row>
    <row r="18">
      <c r="B18" s="13" t="str">
        <f t="array" ref="B18">IFERROR(INDEX('Item Master'!$B:$B,MATCH(A18,'Item Master'!$A:$A,0)),"")</f>
        <v/>
      </c>
    </row>
    <row r="19">
      <c r="B19" s="13" t="str">
        <f t="array" ref="B19">IFERROR(INDEX('Item Master'!$B:$B,MATCH(A19,'Item Master'!$A:$A,0)),"")</f>
        <v/>
      </c>
    </row>
    <row r="20">
      <c r="B20" s="13" t="str">
        <f t="array" ref="B20">IFERROR(INDEX('Item Master'!$B:$B,MATCH(A20,'Item Master'!$A:$A,0)),"")</f>
        <v/>
      </c>
    </row>
    <row r="21" ht="15.75" customHeight="1">
      <c r="B21" s="13" t="str">
        <f t="array" ref="B21">IFERROR(INDEX('Item Master'!$B:$B,MATCH(A21,'Item Master'!$A:$A,0)),"")</f>
        <v/>
      </c>
    </row>
    <row r="22" ht="15.75" customHeight="1">
      <c r="B22" s="13" t="str">
        <f t="array" ref="B22">IFERROR(INDEX('Item Master'!$B:$B,MATCH(A22,'Item Master'!$A:$A,0)),"")</f>
        <v/>
      </c>
    </row>
    <row r="23" ht="15.75" customHeight="1">
      <c r="B23" s="13" t="str">
        <f t="array" ref="B23">IFERROR(INDEX('Item Master'!$B:$B,MATCH(A23,'Item Master'!$A:$A,0)),"")</f>
        <v/>
      </c>
    </row>
    <row r="24" ht="15.75" customHeight="1">
      <c r="B24" s="13" t="str">
        <f t="array" ref="B24">IFERROR(INDEX('Item Master'!$B:$B,MATCH(A24,'Item Master'!$A:$A,0)),"")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21.29"/>
    <col customWidth="1" min="4" max="4" width="22.0"/>
    <col customWidth="1" min="5" max="5" width="18.29"/>
    <col customWidth="1" min="6" max="6" width="19.57"/>
    <col customWidth="1" min="7" max="7" width="22.0"/>
    <col customWidth="1" min="8" max="8" width="20.43"/>
    <col customWidth="1" min="9" max="9" width="16.0"/>
    <col customWidth="1" min="10" max="10" width="22.29"/>
    <col customWidth="1" min="11" max="11" width="18.71"/>
    <col customWidth="1" min="12" max="12" width="20.57"/>
    <col customWidth="1" min="13" max="13" width="23.86"/>
    <col customWidth="1" min="14" max="14" width="22.57"/>
    <col customWidth="1" min="15" max="15" width="19.43"/>
    <col customWidth="1" min="16" max="16" width="27.14"/>
    <col customWidth="1" min="17" max="26" width="8.71"/>
  </cols>
  <sheetData>
    <row r="1" ht="33.75" customHeight="1">
      <c r="A1" s="3" t="s">
        <v>8</v>
      </c>
      <c r="B1" s="3" t="s">
        <v>166</v>
      </c>
      <c r="C1" s="3" t="s">
        <v>167</v>
      </c>
      <c r="D1" s="3" t="s">
        <v>121</v>
      </c>
      <c r="E1" s="3" t="s">
        <v>168</v>
      </c>
      <c r="F1" s="3" t="s">
        <v>169</v>
      </c>
      <c r="G1" s="3" t="s">
        <v>161</v>
      </c>
      <c r="H1" s="3" t="s">
        <v>162</v>
      </c>
      <c r="I1" s="3" t="s">
        <v>170</v>
      </c>
      <c r="J1" s="3" t="s">
        <v>171</v>
      </c>
      <c r="K1" s="3" t="s">
        <v>172</v>
      </c>
      <c r="L1" s="3" t="s">
        <v>173</v>
      </c>
      <c r="M1" s="3" t="s">
        <v>174</v>
      </c>
      <c r="N1" s="3" t="s">
        <v>175</v>
      </c>
      <c r="O1" s="3" t="s">
        <v>177</v>
      </c>
      <c r="P1" s="3" t="s">
        <v>178</v>
      </c>
    </row>
    <row r="2">
      <c r="A2" s="9">
        <v>46266.0</v>
      </c>
      <c r="B2" s="7" t="s">
        <v>48</v>
      </c>
      <c r="C2" s="7" t="s">
        <v>179</v>
      </c>
      <c r="D2" s="8" t="str">
        <f t="array" ref="D2">IF(C2="","",IFERROR(INDEX('Item Master'!$B:$B,MATCH(C2,'Item Master'!$A:$A,0)),""))</f>
        <v>Semi-Finished Stage 1</v>
      </c>
      <c r="E2" s="7"/>
      <c r="F2" s="7" t="s">
        <v>141</v>
      </c>
      <c r="G2" s="8" t="str">
        <f t="array" ref="G2">IF(F2="","",IFERROR(INDEX('Item Master'!$B:$B,MATCH(F2,'Item Master'!$A:$A,0)),""))</f>
        <v>Raw Material A</v>
      </c>
      <c r="H2" s="8">
        <f>IF(F2="",0,SUMIFS('BOM Master'!$F:$F,'BOM Master'!$A:$A,C2,'BOM Master'!$D:$D,F2))</f>
        <v>0</v>
      </c>
      <c r="I2" s="8">
        <f t="shared" ref="I2:I150" si="1">E2*H2</f>
        <v>0</v>
      </c>
      <c r="J2" s="8">
        <f t="array" ref="J2">IF(F2="",0,IFERROR(INDEX('Item Master'!$G:$G,MATCH(F2,'Item Master'!$A:$A,0)),0))</f>
        <v>0</v>
      </c>
      <c r="K2" s="8">
        <f t="shared" ref="K2:K150" si="2">I2*J2</f>
        <v>0</v>
      </c>
      <c r="L2" s="7"/>
      <c r="M2" s="8">
        <f t="shared" ref="M2:M150" si="3">IF(B2="","",SUMIF($B$2:$B$150,B2,$K$2:$K$150))</f>
        <v>0</v>
      </c>
      <c r="N2" s="8">
        <f t="shared" ref="N2:N150" si="4">IF(B2="","",SUMIF($B$2:$B$150,B2,$L$2:$L$150))</f>
        <v>0</v>
      </c>
      <c r="O2" s="8">
        <f t="shared" ref="O2:O150" si="5">IF(B2="","",M2+N2)</f>
        <v>0</v>
      </c>
      <c r="P2" s="8">
        <f t="shared" ref="P2:P150" si="6">IF(B2="","",IFERROR(O2/E2,0))</f>
        <v>0</v>
      </c>
    </row>
    <row r="3">
      <c r="A3" s="9">
        <v>46266.0</v>
      </c>
      <c r="B3" s="7" t="s">
        <v>149</v>
      </c>
      <c r="C3" s="7" t="s">
        <v>193</v>
      </c>
      <c r="D3" s="8" t="str">
        <f t="array" ref="D3">IF(C3="","",IFERROR(INDEX('Item Master'!$B:$B,MATCH(C3,'Item Master'!$A:$A,0)),""))</f>
        <v>Semi-Finished Stage 2</v>
      </c>
      <c r="E3" s="7"/>
      <c r="F3" s="7" t="s">
        <v>179</v>
      </c>
      <c r="G3" s="8" t="str">
        <f t="array" ref="G3">IF(F3="","",IFERROR(INDEX('Item Master'!$B:$B,MATCH(F3,'Item Master'!$A:$A,0)),""))</f>
        <v>Semi-Finished Stage 1</v>
      </c>
      <c r="H3" s="8">
        <f>IF(F3="",0,SUMIFS('BOM Master'!$F:$F,'BOM Master'!$A:$A,C3,'BOM Master'!$D:$D,F3))</f>
        <v>0</v>
      </c>
      <c r="I3" s="8">
        <f t="shared" si="1"/>
        <v>0</v>
      </c>
      <c r="J3" s="8">
        <f t="array" ref="J3">IF(F3="",0,IFERROR(INDEX('Item Master'!$G:$G,MATCH(F3,'Item Master'!$A:$A,0)),0))</f>
        <v>0</v>
      </c>
      <c r="K3" s="8">
        <f t="shared" si="2"/>
        <v>0</v>
      </c>
      <c r="L3" s="7"/>
      <c r="M3" s="8">
        <f t="shared" si="3"/>
        <v>0</v>
      </c>
      <c r="N3" s="8">
        <f t="shared" si="4"/>
        <v>0</v>
      </c>
      <c r="O3" s="8">
        <f t="shared" si="5"/>
        <v>0</v>
      </c>
      <c r="P3" s="8">
        <f t="shared" si="6"/>
        <v>0</v>
      </c>
    </row>
    <row r="4">
      <c r="A4" s="9">
        <v>46266.0</v>
      </c>
      <c r="B4" s="7" t="s">
        <v>149</v>
      </c>
      <c r="C4" s="7" t="s">
        <v>193</v>
      </c>
      <c r="D4" s="8" t="str">
        <f t="array" ref="D4">IF(C4="","",IFERROR(INDEX('Item Master'!$B:$B,MATCH(C4,'Item Master'!$A:$A,0)),""))</f>
        <v>Semi-Finished Stage 2</v>
      </c>
      <c r="E4" s="7"/>
      <c r="F4" s="7" t="s">
        <v>195</v>
      </c>
      <c r="G4" s="8" t="str">
        <f t="array" ref="G4">IF(F4="","",IFERROR(INDEX('Item Master'!$B:$B,MATCH(F4,'Item Master'!$A:$A,0)),""))</f>
        <v>Raw Material B</v>
      </c>
      <c r="H4" s="8">
        <f>IF(F4="",0,SUMIFS('BOM Master'!$F:$F,'BOM Master'!$A:$A,C4,'BOM Master'!$D:$D,F4))</f>
        <v>0</v>
      </c>
      <c r="I4" s="8">
        <f t="shared" si="1"/>
        <v>0</v>
      </c>
      <c r="J4" s="8">
        <f t="array" ref="J4">IF(F4="",0,IFERROR(INDEX('Item Master'!$G:$G,MATCH(F4,'Item Master'!$A:$A,0)),0))</f>
        <v>0</v>
      </c>
      <c r="K4" s="8">
        <f t="shared" si="2"/>
        <v>0</v>
      </c>
      <c r="L4" s="10"/>
      <c r="M4" s="8">
        <f t="shared" si="3"/>
        <v>0</v>
      </c>
      <c r="N4" s="8">
        <f t="shared" si="4"/>
        <v>0</v>
      </c>
      <c r="O4" s="8">
        <f t="shared" si="5"/>
        <v>0</v>
      </c>
      <c r="P4" s="8">
        <f t="shared" si="6"/>
        <v>0</v>
      </c>
    </row>
    <row r="5">
      <c r="A5" s="9">
        <v>46266.0</v>
      </c>
      <c r="B5" s="7" t="s">
        <v>155</v>
      </c>
      <c r="C5" s="7" t="s">
        <v>200</v>
      </c>
      <c r="D5" s="8" t="str">
        <f t="array" ref="D5">IF(C5="","",IFERROR(INDEX('Item Master'!$B:$B,MATCH(C5,'Item Master'!$A:$A,0)),""))</f>
        <v>Finished Good X</v>
      </c>
      <c r="E5" s="7"/>
      <c r="F5" s="7" t="s">
        <v>193</v>
      </c>
      <c r="G5" s="8" t="str">
        <f t="array" ref="G5">IF(F5="","",IFERROR(INDEX('Item Master'!$B:$B,MATCH(F5,'Item Master'!$A:$A,0)),""))</f>
        <v>Semi-Finished Stage 2</v>
      </c>
      <c r="H5" s="8">
        <f>IF(F5="",0,SUMIFS('BOM Master'!$F:$F,'BOM Master'!$A:$A,C5,'BOM Master'!$D:$D,F5))</f>
        <v>0</v>
      </c>
      <c r="I5" s="8">
        <f t="shared" si="1"/>
        <v>0</v>
      </c>
      <c r="J5" s="8">
        <f t="array" ref="J5">IF(F5="",0,IFERROR(INDEX('Item Master'!$G:$G,MATCH(F5,'Item Master'!$A:$A,0)),0))</f>
        <v>0</v>
      </c>
      <c r="K5" s="8">
        <f t="shared" si="2"/>
        <v>0</v>
      </c>
      <c r="L5" s="7"/>
      <c r="M5" s="8">
        <f t="shared" si="3"/>
        <v>0</v>
      </c>
      <c r="N5" s="8">
        <f t="shared" si="4"/>
        <v>0</v>
      </c>
      <c r="O5" s="8">
        <f t="shared" si="5"/>
        <v>0</v>
      </c>
      <c r="P5" s="8">
        <f t="shared" si="6"/>
        <v>0</v>
      </c>
    </row>
    <row r="6">
      <c r="A6" s="9">
        <v>46266.0</v>
      </c>
      <c r="B6" s="7" t="s">
        <v>155</v>
      </c>
      <c r="C6" s="7" t="s">
        <v>200</v>
      </c>
      <c r="D6" s="8" t="str">
        <f t="array" ref="D6">IF(C6="","",IFERROR(INDEX('Item Master'!$B:$B,MATCH(C6,'Item Master'!$A:$A,0)),""))</f>
        <v>Finished Good X</v>
      </c>
      <c r="E6" s="7"/>
      <c r="F6" s="7" t="s">
        <v>202</v>
      </c>
      <c r="G6" s="8" t="str">
        <f t="array" ref="G6">IF(F6="","",IFERROR(INDEX('Item Master'!$B:$B,MATCH(F6,'Item Master'!$A:$A,0)),""))</f>
        <v>Packaging Box</v>
      </c>
      <c r="H6" s="8">
        <f>IF(F6="",0,SUMIFS('BOM Master'!$F:$F,'BOM Master'!$A:$A,C6,'BOM Master'!$D:$D,F6))</f>
        <v>0</v>
      </c>
      <c r="I6" s="8">
        <f t="shared" si="1"/>
        <v>0</v>
      </c>
      <c r="J6" s="8">
        <f t="array" ref="J6">IF(F6="",0,IFERROR(INDEX('Item Master'!$G:$G,MATCH(F6,'Item Master'!$A:$A,0)),0))</f>
        <v>0</v>
      </c>
      <c r="K6" s="8">
        <f t="shared" si="2"/>
        <v>0</v>
      </c>
      <c r="L6" s="10"/>
      <c r="M6" s="8">
        <f t="shared" si="3"/>
        <v>0</v>
      </c>
      <c r="N6" s="8">
        <f t="shared" si="4"/>
        <v>0</v>
      </c>
      <c r="O6" s="8">
        <f t="shared" si="5"/>
        <v>0</v>
      </c>
      <c r="P6" s="8">
        <f t="shared" si="6"/>
        <v>0</v>
      </c>
    </row>
    <row r="7">
      <c r="A7" s="19"/>
      <c r="B7" s="19"/>
      <c r="C7" s="20" t="s">
        <v>163</v>
      </c>
      <c r="D7" s="8" t="str">
        <f t="array" ref="D7">IF(C7="","",IFERROR(INDEX('Item Master'!$B:$B,MATCH(C7,'Item Master'!$A:$A,0)),""))</f>
        <v>NovaCrete PU-MF-C-Filler </v>
      </c>
      <c r="E7" s="20">
        <v>50.0</v>
      </c>
      <c r="F7" s="20" t="s">
        <v>183</v>
      </c>
      <c r="G7" s="8" t="str">
        <f t="array" ref="G7">IF(F7="","",IFERROR(INDEX('Item Master'!$B:$B,MATCH(F7,'Item Master'!$A:$A,0)),""))</f>
        <v>Elephent Cement</v>
      </c>
      <c r="H7" s="8">
        <f>IF(F7="",0,SUMIFS('BOM Master'!$F:$F,'BOM Master'!$A:$A,C7,'BOM Master'!$D:$D,F7))</f>
        <v>4.2</v>
      </c>
      <c r="I7" s="8">
        <f t="shared" si="1"/>
        <v>210</v>
      </c>
      <c r="J7" s="8">
        <f t="array" ref="J7">IF(F7="",0,IFERROR(INDEX('Item Master'!$G:$G,MATCH(F7,'Item Master'!$A:$A,0)),0))</f>
        <v>32.27848101</v>
      </c>
      <c r="K7" s="8">
        <f t="shared" si="2"/>
        <v>6778.481013</v>
      </c>
      <c r="L7" s="20">
        <v>100.0</v>
      </c>
      <c r="M7" s="8" t="str">
        <f t="shared" si="3"/>
        <v/>
      </c>
      <c r="N7" s="8" t="str">
        <f t="shared" si="4"/>
        <v/>
      </c>
      <c r="O7" s="8" t="str">
        <f t="shared" si="5"/>
        <v/>
      </c>
      <c r="P7" s="8" t="str">
        <f t="shared" si="6"/>
        <v/>
      </c>
    </row>
    <row r="8">
      <c r="A8" s="19"/>
      <c r="B8" s="19"/>
      <c r="C8" s="19"/>
      <c r="D8" s="8" t="str">
        <f t="array" ref="D8">IF(C8="","",IFERROR(INDEX('Item Master'!$B:$B,MATCH(C8,'Item Master'!$A:$A,0)),""))</f>
        <v/>
      </c>
      <c r="E8" s="19"/>
      <c r="F8" s="19"/>
      <c r="G8" s="8" t="str">
        <f t="array" ref="G8">IF(F8="","",IFERROR(INDEX('Item Master'!$B:$B,MATCH(F8,'Item Master'!$A:$A,0)),""))</f>
        <v/>
      </c>
      <c r="H8" s="8">
        <f>IF(F8="",0,SUMIFS('BOM Master'!$F:$F,'BOM Master'!$A:$A,C8,'BOM Master'!$D:$D,F8))</f>
        <v>0</v>
      </c>
      <c r="I8" s="8">
        <f t="shared" si="1"/>
        <v>0</v>
      </c>
      <c r="J8" s="8">
        <f t="array" ref="J8">IF(F8="",0,IFERROR(INDEX('Item Master'!$G:$G,MATCH(F8,'Item Master'!$A:$A,0)),0))</f>
        <v>0</v>
      </c>
      <c r="K8" s="8">
        <f t="shared" si="2"/>
        <v>0</v>
      </c>
      <c r="L8" s="19"/>
      <c r="M8" s="8" t="str">
        <f t="shared" si="3"/>
        <v/>
      </c>
      <c r="N8" s="8" t="str">
        <f t="shared" si="4"/>
        <v/>
      </c>
      <c r="O8" s="8" t="str">
        <f t="shared" si="5"/>
        <v/>
      </c>
      <c r="P8" s="8" t="str">
        <f t="shared" si="6"/>
        <v/>
      </c>
    </row>
    <row r="9">
      <c r="A9" s="19"/>
      <c r="B9" s="19"/>
      <c r="C9" s="19"/>
      <c r="D9" s="8" t="str">
        <f t="array" ref="D9">IF(C9="","",IFERROR(INDEX('Item Master'!$B:$B,MATCH(C9,'Item Master'!$A:$A,0)),""))</f>
        <v/>
      </c>
      <c r="E9" s="19"/>
      <c r="F9" s="19"/>
      <c r="G9" s="8" t="str">
        <f t="array" ref="G9">IF(F9="","",IFERROR(INDEX('Item Master'!$B:$B,MATCH(F9,'Item Master'!$A:$A,0)),""))</f>
        <v/>
      </c>
      <c r="H9" s="8">
        <f>IF(F9="",0,SUMIFS('BOM Master'!$F:$F,'BOM Master'!$A:$A,C9,'BOM Master'!$D:$D,F9))</f>
        <v>0</v>
      </c>
      <c r="I9" s="8">
        <f t="shared" si="1"/>
        <v>0</v>
      </c>
      <c r="J9" s="8">
        <f t="array" ref="J9">IF(F9="",0,IFERROR(INDEX('Item Master'!$G:$G,MATCH(F9,'Item Master'!$A:$A,0)),0))</f>
        <v>0</v>
      </c>
      <c r="K9" s="8">
        <f t="shared" si="2"/>
        <v>0</v>
      </c>
      <c r="L9" s="19"/>
      <c r="M9" s="8" t="str">
        <f t="shared" si="3"/>
        <v/>
      </c>
      <c r="N9" s="8" t="str">
        <f t="shared" si="4"/>
        <v/>
      </c>
      <c r="O9" s="8" t="str">
        <f t="shared" si="5"/>
        <v/>
      </c>
      <c r="P9" s="8" t="str">
        <f t="shared" si="6"/>
        <v/>
      </c>
    </row>
    <row r="10">
      <c r="A10" s="19"/>
      <c r="B10" s="19"/>
      <c r="C10" s="19"/>
      <c r="D10" s="8" t="str">
        <f t="array" ref="D10">IF(C10="","",IFERROR(INDEX('Item Master'!$B:$B,MATCH(C10,'Item Master'!$A:$A,0)),""))</f>
        <v/>
      </c>
      <c r="E10" s="19"/>
      <c r="F10" s="19"/>
      <c r="G10" s="8" t="str">
        <f t="array" ref="G10">IF(F10="","",IFERROR(INDEX('Item Master'!$B:$B,MATCH(F10,'Item Master'!$A:$A,0)),""))</f>
        <v/>
      </c>
      <c r="H10" s="8">
        <f>IF(F10="",0,SUMIFS('BOM Master'!$F:$F,'BOM Master'!$A:$A,C10,'BOM Master'!$D:$D,F10))</f>
        <v>0</v>
      </c>
      <c r="I10" s="8">
        <f t="shared" si="1"/>
        <v>0</v>
      </c>
      <c r="J10" s="8">
        <f t="array" ref="J10">IF(F10="",0,IFERROR(INDEX('Item Master'!$G:$G,MATCH(F10,'Item Master'!$A:$A,0)),0))</f>
        <v>0</v>
      </c>
      <c r="K10" s="8">
        <f t="shared" si="2"/>
        <v>0</v>
      </c>
      <c r="L10" s="19"/>
      <c r="M10" s="8" t="str">
        <f t="shared" si="3"/>
        <v/>
      </c>
      <c r="N10" s="8" t="str">
        <f t="shared" si="4"/>
        <v/>
      </c>
      <c r="O10" s="8" t="str">
        <f t="shared" si="5"/>
        <v/>
      </c>
      <c r="P10" s="8" t="str">
        <f t="shared" si="6"/>
        <v/>
      </c>
    </row>
    <row r="11">
      <c r="A11" s="19"/>
      <c r="B11" s="19"/>
      <c r="C11" s="19"/>
      <c r="D11" s="8" t="str">
        <f t="array" ref="D11">IF(C11="","",IFERROR(INDEX('Item Master'!$B:$B,MATCH(C11,'Item Master'!$A:$A,0)),""))</f>
        <v/>
      </c>
      <c r="E11" s="19"/>
      <c r="F11" s="19"/>
      <c r="G11" s="8" t="str">
        <f t="array" ref="G11">IF(F11="","",IFERROR(INDEX('Item Master'!$B:$B,MATCH(F11,'Item Master'!$A:$A,0)),""))</f>
        <v/>
      </c>
      <c r="H11" s="8">
        <f>IF(F11="",0,SUMIFS('BOM Master'!$F:$F,'BOM Master'!$A:$A,C11,'BOM Master'!$D:$D,F11))</f>
        <v>0</v>
      </c>
      <c r="I11" s="8">
        <f t="shared" si="1"/>
        <v>0</v>
      </c>
      <c r="J11" s="8">
        <f t="array" ref="J11">IF(F11="",0,IFERROR(INDEX('Item Master'!$G:$G,MATCH(F11,'Item Master'!$A:$A,0)),0))</f>
        <v>0</v>
      </c>
      <c r="K11" s="8">
        <f t="shared" si="2"/>
        <v>0</v>
      </c>
      <c r="L11" s="19"/>
      <c r="M11" s="8" t="str">
        <f t="shared" si="3"/>
        <v/>
      </c>
      <c r="N11" s="8" t="str">
        <f t="shared" si="4"/>
        <v/>
      </c>
      <c r="O11" s="8" t="str">
        <f t="shared" si="5"/>
        <v/>
      </c>
      <c r="P11" s="8" t="str">
        <f t="shared" si="6"/>
        <v/>
      </c>
    </row>
    <row r="12">
      <c r="A12" s="19"/>
      <c r="B12" s="19"/>
      <c r="C12" s="19"/>
      <c r="D12" s="8" t="str">
        <f t="array" ref="D12">IF(C12="","",IFERROR(INDEX('Item Master'!$B:$B,MATCH(C12,'Item Master'!$A:$A,0)),""))</f>
        <v/>
      </c>
      <c r="E12" s="19"/>
      <c r="F12" s="19"/>
      <c r="G12" s="8" t="str">
        <f t="array" ref="G12">IF(F12="","",IFERROR(INDEX('Item Master'!$B:$B,MATCH(F12,'Item Master'!$A:$A,0)),""))</f>
        <v/>
      </c>
      <c r="H12" s="8">
        <f>IF(F12="",0,SUMIFS('BOM Master'!$F:$F,'BOM Master'!$A:$A,C12,'BOM Master'!$D:$D,F12))</f>
        <v>0</v>
      </c>
      <c r="I12" s="8">
        <f t="shared" si="1"/>
        <v>0</v>
      </c>
      <c r="J12" s="8">
        <f t="array" ref="J12">IF(F12="",0,IFERROR(INDEX('Item Master'!$G:$G,MATCH(F12,'Item Master'!$A:$A,0)),0))</f>
        <v>0</v>
      </c>
      <c r="K12" s="8">
        <f t="shared" si="2"/>
        <v>0</v>
      </c>
      <c r="L12" s="19"/>
      <c r="M12" s="8" t="str">
        <f t="shared" si="3"/>
        <v/>
      </c>
      <c r="N12" s="8" t="str">
        <f t="shared" si="4"/>
        <v/>
      </c>
      <c r="O12" s="8" t="str">
        <f t="shared" si="5"/>
        <v/>
      </c>
      <c r="P12" s="8" t="str">
        <f t="shared" si="6"/>
        <v/>
      </c>
    </row>
    <row r="13">
      <c r="A13" s="19"/>
      <c r="B13" s="19"/>
      <c r="C13" s="19"/>
      <c r="D13" s="8" t="str">
        <f t="array" ref="D13">IF(C13="","",IFERROR(INDEX('Item Master'!$B:$B,MATCH(C13,'Item Master'!$A:$A,0)),""))</f>
        <v/>
      </c>
      <c r="E13" s="19"/>
      <c r="F13" s="19"/>
      <c r="G13" s="8" t="str">
        <f t="array" ref="G13">IF(F13="","",IFERROR(INDEX('Item Master'!$B:$B,MATCH(F13,'Item Master'!$A:$A,0)),""))</f>
        <v/>
      </c>
      <c r="H13" s="8">
        <f>IF(F13="",0,SUMIFS('BOM Master'!$F:$F,'BOM Master'!$A:$A,C13,'BOM Master'!$D:$D,F13))</f>
        <v>0</v>
      </c>
      <c r="I13" s="8">
        <f t="shared" si="1"/>
        <v>0</v>
      </c>
      <c r="J13" s="8">
        <f t="array" ref="J13">IF(F13="",0,IFERROR(INDEX('Item Master'!$G:$G,MATCH(F13,'Item Master'!$A:$A,0)),0))</f>
        <v>0</v>
      </c>
      <c r="K13" s="8">
        <f t="shared" si="2"/>
        <v>0</v>
      </c>
      <c r="L13" s="19"/>
      <c r="M13" s="8" t="str">
        <f t="shared" si="3"/>
        <v/>
      </c>
      <c r="N13" s="8" t="str">
        <f t="shared" si="4"/>
        <v/>
      </c>
      <c r="O13" s="8" t="str">
        <f t="shared" si="5"/>
        <v/>
      </c>
      <c r="P13" s="8" t="str">
        <f t="shared" si="6"/>
        <v/>
      </c>
    </row>
    <row r="14">
      <c r="A14" s="19"/>
      <c r="B14" s="19"/>
      <c r="C14" s="19"/>
      <c r="D14" s="8" t="str">
        <f t="array" ref="D14">IF(C14="","",IFERROR(INDEX('Item Master'!$B:$B,MATCH(C14,'Item Master'!$A:$A,0)),""))</f>
        <v/>
      </c>
      <c r="E14" s="19"/>
      <c r="F14" s="19"/>
      <c r="G14" s="8" t="str">
        <f t="array" ref="G14">IF(F14="","",IFERROR(INDEX('Item Master'!$B:$B,MATCH(F14,'Item Master'!$A:$A,0)),""))</f>
        <v/>
      </c>
      <c r="H14" s="8">
        <f>IF(F14="",0,SUMIFS('BOM Master'!$F:$F,'BOM Master'!$A:$A,C14,'BOM Master'!$D:$D,F14))</f>
        <v>0</v>
      </c>
      <c r="I14" s="8">
        <f t="shared" si="1"/>
        <v>0</v>
      </c>
      <c r="J14" s="8">
        <f t="array" ref="J14">IF(F14="",0,IFERROR(INDEX('Item Master'!$G:$G,MATCH(F14,'Item Master'!$A:$A,0)),0))</f>
        <v>0</v>
      </c>
      <c r="K14" s="8">
        <f t="shared" si="2"/>
        <v>0</v>
      </c>
      <c r="L14" s="19"/>
      <c r="M14" s="8" t="str">
        <f t="shared" si="3"/>
        <v/>
      </c>
      <c r="N14" s="8" t="str">
        <f t="shared" si="4"/>
        <v/>
      </c>
      <c r="O14" s="8" t="str">
        <f t="shared" si="5"/>
        <v/>
      </c>
      <c r="P14" s="8" t="str">
        <f t="shared" si="6"/>
        <v/>
      </c>
    </row>
    <row r="15">
      <c r="A15" s="19"/>
      <c r="B15" s="19"/>
      <c r="C15" s="19"/>
      <c r="D15" s="8" t="str">
        <f t="array" ref="D15">IF(C15="","",IFERROR(INDEX('Item Master'!$B:$B,MATCH(C15,'Item Master'!$A:$A,0)),""))</f>
        <v/>
      </c>
      <c r="E15" s="19"/>
      <c r="F15" s="19"/>
      <c r="G15" s="8" t="str">
        <f t="array" ref="G15">IF(F15="","",IFERROR(INDEX('Item Master'!$B:$B,MATCH(F15,'Item Master'!$A:$A,0)),""))</f>
        <v/>
      </c>
      <c r="H15" s="8">
        <f>IF(F15="",0,SUMIFS('BOM Master'!$F:$F,'BOM Master'!$A:$A,C15,'BOM Master'!$D:$D,F15))</f>
        <v>0</v>
      </c>
      <c r="I15" s="8">
        <f t="shared" si="1"/>
        <v>0</v>
      </c>
      <c r="J15" s="8">
        <f t="array" ref="J15">IF(F15="",0,IFERROR(INDEX('Item Master'!$G:$G,MATCH(F15,'Item Master'!$A:$A,0)),0))</f>
        <v>0</v>
      </c>
      <c r="K15" s="8">
        <f t="shared" si="2"/>
        <v>0</v>
      </c>
      <c r="L15" s="19"/>
      <c r="M15" s="8" t="str">
        <f t="shared" si="3"/>
        <v/>
      </c>
      <c r="N15" s="8" t="str">
        <f t="shared" si="4"/>
        <v/>
      </c>
      <c r="O15" s="8" t="str">
        <f t="shared" si="5"/>
        <v/>
      </c>
      <c r="P15" s="8" t="str">
        <f t="shared" si="6"/>
        <v/>
      </c>
    </row>
    <row r="16">
      <c r="A16" s="19"/>
      <c r="B16" s="19"/>
      <c r="C16" s="19"/>
      <c r="D16" s="8" t="str">
        <f t="array" ref="D16">IF(C16="","",IFERROR(INDEX('Item Master'!$B:$B,MATCH(C16,'Item Master'!$A:$A,0)),""))</f>
        <v/>
      </c>
      <c r="E16" s="19"/>
      <c r="F16" s="19"/>
      <c r="G16" s="8" t="str">
        <f t="array" ref="G16">IF(F16="","",IFERROR(INDEX('Item Master'!$B:$B,MATCH(F16,'Item Master'!$A:$A,0)),""))</f>
        <v/>
      </c>
      <c r="H16" s="8">
        <f>IF(F16="",0,SUMIFS('BOM Master'!$F:$F,'BOM Master'!$A:$A,C16,'BOM Master'!$D:$D,F16))</f>
        <v>0</v>
      </c>
      <c r="I16" s="8">
        <f t="shared" si="1"/>
        <v>0</v>
      </c>
      <c r="J16" s="8">
        <f t="array" ref="J16">IF(F16="",0,IFERROR(INDEX('Item Master'!$G:$G,MATCH(F16,'Item Master'!$A:$A,0)),0))</f>
        <v>0</v>
      </c>
      <c r="K16" s="8">
        <f t="shared" si="2"/>
        <v>0</v>
      </c>
      <c r="L16" s="19"/>
      <c r="M16" s="8" t="str">
        <f t="shared" si="3"/>
        <v/>
      </c>
      <c r="N16" s="8" t="str">
        <f t="shared" si="4"/>
        <v/>
      </c>
      <c r="O16" s="8" t="str">
        <f t="shared" si="5"/>
        <v/>
      </c>
      <c r="P16" s="8" t="str">
        <f t="shared" si="6"/>
        <v/>
      </c>
    </row>
    <row r="17">
      <c r="A17" s="19"/>
      <c r="B17" s="19"/>
      <c r="C17" s="19"/>
      <c r="D17" s="8" t="str">
        <f t="array" ref="D17">IF(C17="","",IFERROR(INDEX('Item Master'!$B:$B,MATCH(C17,'Item Master'!$A:$A,0)),""))</f>
        <v/>
      </c>
      <c r="E17" s="19"/>
      <c r="F17" s="19"/>
      <c r="G17" s="8" t="str">
        <f t="array" ref="G17">IF(F17="","",IFERROR(INDEX('Item Master'!$B:$B,MATCH(F17,'Item Master'!$A:$A,0)),""))</f>
        <v/>
      </c>
      <c r="H17" s="8">
        <f>IF(F17="",0,SUMIFS('BOM Master'!$F:$F,'BOM Master'!$A:$A,C17,'BOM Master'!$D:$D,F17))</f>
        <v>0</v>
      </c>
      <c r="I17" s="8">
        <f t="shared" si="1"/>
        <v>0</v>
      </c>
      <c r="J17" s="8">
        <f t="array" ref="J17">IF(F17="",0,IFERROR(INDEX('Item Master'!$G:$G,MATCH(F17,'Item Master'!$A:$A,0)),0))</f>
        <v>0</v>
      </c>
      <c r="K17" s="8">
        <f t="shared" si="2"/>
        <v>0</v>
      </c>
      <c r="L17" s="19"/>
      <c r="M17" s="8" t="str">
        <f t="shared" si="3"/>
        <v/>
      </c>
      <c r="N17" s="8" t="str">
        <f t="shared" si="4"/>
        <v/>
      </c>
      <c r="O17" s="8" t="str">
        <f t="shared" si="5"/>
        <v/>
      </c>
      <c r="P17" s="8" t="str">
        <f t="shared" si="6"/>
        <v/>
      </c>
    </row>
    <row r="18">
      <c r="A18" s="19"/>
      <c r="B18" s="19"/>
      <c r="C18" s="19"/>
      <c r="D18" s="8" t="str">
        <f t="array" ref="D18">IF(C18="","",IFERROR(INDEX('Item Master'!$B:$B,MATCH(C18,'Item Master'!$A:$A,0)),""))</f>
        <v/>
      </c>
      <c r="E18" s="19"/>
      <c r="F18" s="19"/>
      <c r="G18" s="8" t="str">
        <f t="array" ref="G18">IF(F18="","",IFERROR(INDEX('Item Master'!$B:$B,MATCH(F18,'Item Master'!$A:$A,0)),""))</f>
        <v/>
      </c>
      <c r="H18" s="8">
        <f>IF(F18="",0,SUMIFS('BOM Master'!$F:$F,'BOM Master'!$A:$A,C18,'BOM Master'!$D:$D,F18))</f>
        <v>0</v>
      </c>
      <c r="I18" s="8">
        <f t="shared" si="1"/>
        <v>0</v>
      </c>
      <c r="J18" s="8">
        <f t="array" ref="J18">IF(F18="",0,IFERROR(INDEX('Item Master'!$G:$G,MATCH(F18,'Item Master'!$A:$A,0)),0))</f>
        <v>0</v>
      </c>
      <c r="K18" s="8">
        <f t="shared" si="2"/>
        <v>0</v>
      </c>
      <c r="L18" s="19"/>
      <c r="M18" s="8" t="str">
        <f t="shared" si="3"/>
        <v/>
      </c>
      <c r="N18" s="8" t="str">
        <f t="shared" si="4"/>
        <v/>
      </c>
      <c r="O18" s="8" t="str">
        <f t="shared" si="5"/>
        <v/>
      </c>
      <c r="P18" s="8" t="str">
        <f t="shared" si="6"/>
        <v/>
      </c>
    </row>
    <row r="19">
      <c r="A19" s="19"/>
      <c r="B19" s="19"/>
      <c r="C19" s="19"/>
      <c r="D19" s="8" t="str">
        <f t="array" ref="D19">IF(C19="","",IFERROR(INDEX('Item Master'!$B:$B,MATCH(C19,'Item Master'!$A:$A,0)),""))</f>
        <v/>
      </c>
      <c r="E19" s="19"/>
      <c r="F19" s="19"/>
      <c r="G19" s="8" t="str">
        <f t="array" ref="G19">IF(F19="","",IFERROR(INDEX('Item Master'!$B:$B,MATCH(F19,'Item Master'!$A:$A,0)),""))</f>
        <v/>
      </c>
      <c r="H19" s="8">
        <f>IF(F19="",0,SUMIFS('BOM Master'!$F:$F,'BOM Master'!$A:$A,C19,'BOM Master'!$D:$D,F19))</f>
        <v>0</v>
      </c>
      <c r="I19" s="8">
        <f t="shared" si="1"/>
        <v>0</v>
      </c>
      <c r="J19" s="8">
        <f t="array" ref="J19">IF(F19="",0,IFERROR(INDEX('Item Master'!$G:$G,MATCH(F19,'Item Master'!$A:$A,0)),0))</f>
        <v>0</v>
      </c>
      <c r="K19" s="8">
        <f t="shared" si="2"/>
        <v>0</v>
      </c>
      <c r="L19" s="19"/>
      <c r="M19" s="8" t="str">
        <f t="shared" si="3"/>
        <v/>
      </c>
      <c r="N19" s="8" t="str">
        <f t="shared" si="4"/>
        <v/>
      </c>
      <c r="O19" s="8" t="str">
        <f t="shared" si="5"/>
        <v/>
      </c>
      <c r="P19" s="8" t="str">
        <f t="shared" si="6"/>
        <v/>
      </c>
    </row>
    <row r="20">
      <c r="A20" s="19"/>
      <c r="B20" s="19"/>
      <c r="C20" s="19"/>
      <c r="D20" s="8" t="str">
        <f t="array" ref="D20">IF(C20="","",IFERROR(INDEX('Item Master'!$B:$B,MATCH(C20,'Item Master'!$A:$A,0)),""))</f>
        <v/>
      </c>
      <c r="E20" s="19"/>
      <c r="F20" s="19"/>
      <c r="G20" s="8" t="str">
        <f t="array" ref="G20">IF(F20="","",IFERROR(INDEX('Item Master'!$B:$B,MATCH(F20,'Item Master'!$A:$A,0)),""))</f>
        <v/>
      </c>
      <c r="H20" s="8">
        <f>IF(F20="",0,SUMIFS('BOM Master'!$F:$F,'BOM Master'!$A:$A,C20,'BOM Master'!$D:$D,F20))</f>
        <v>0</v>
      </c>
      <c r="I20" s="8">
        <f t="shared" si="1"/>
        <v>0</v>
      </c>
      <c r="J20" s="8">
        <f t="array" ref="J20">IF(F20="",0,IFERROR(INDEX('Item Master'!$G:$G,MATCH(F20,'Item Master'!$A:$A,0)),0))</f>
        <v>0</v>
      </c>
      <c r="K20" s="8">
        <f t="shared" si="2"/>
        <v>0</v>
      </c>
      <c r="L20" s="19"/>
      <c r="M20" s="8" t="str">
        <f t="shared" si="3"/>
        <v/>
      </c>
      <c r="N20" s="8" t="str">
        <f t="shared" si="4"/>
        <v/>
      </c>
      <c r="O20" s="8" t="str">
        <f t="shared" si="5"/>
        <v/>
      </c>
      <c r="P20" s="8" t="str">
        <f t="shared" si="6"/>
        <v/>
      </c>
    </row>
    <row r="21" ht="15.75" customHeight="1">
      <c r="A21" s="19"/>
      <c r="B21" s="19"/>
      <c r="C21" s="19"/>
      <c r="D21" s="8" t="str">
        <f t="array" ref="D21">IF(C21="","",IFERROR(INDEX('Item Master'!$B:$B,MATCH(C21,'Item Master'!$A:$A,0)),""))</f>
        <v/>
      </c>
      <c r="E21" s="19"/>
      <c r="F21" s="19"/>
      <c r="G21" s="8" t="str">
        <f t="array" ref="G21">IF(F21="","",IFERROR(INDEX('Item Master'!$B:$B,MATCH(F21,'Item Master'!$A:$A,0)),""))</f>
        <v/>
      </c>
      <c r="H21" s="8">
        <f>IF(F21="",0,SUMIFS('BOM Master'!$F:$F,'BOM Master'!$A:$A,C21,'BOM Master'!$D:$D,F21))</f>
        <v>0</v>
      </c>
      <c r="I21" s="8">
        <f t="shared" si="1"/>
        <v>0</v>
      </c>
      <c r="J21" s="8">
        <f t="array" ref="J21">IF(F21="",0,IFERROR(INDEX('Item Master'!$G:$G,MATCH(F21,'Item Master'!$A:$A,0)),0))</f>
        <v>0</v>
      </c>
      <c r="K21" s="8">
        <f t="shared" si="2"/>
        <v>0</v>
      </c>
      <c r="L21" s="19"/>
      <c r="M21" s="8" t="str">
        <f t="shared" si="3"/>
        <v/>
      </c>
      <c r="N21" s="8" t="str">
        <f t="shared" si="4"/>
        <v/>
      </c>
      <c r="O21" s="8" t="str">
        <f t="shared" si="5"/>
        <v/>
      </c>
      <c r="P21" s="8" t="str">
        <f t="shared" si="6"/>
        <v/>
      </c>
    </row>
    <row r="22" ht="15.75" customHeight="1">
      <c r="A22" s="19"/>
      <c r="B22" s="19"/>
      <c r="C22" s="19"/>
      <c r="D22" s="8" t="str">
        <f t="array" ref="D22">IF(C22="","",IFERROR(INDEX('Item Master'!$B:$B,MATCH(C22,'Item Master'!$A:$A,0)),""))</f>
        <v/>
      </c>
      <c r="E22" s="19"/>
      <c r="F22" s="19"/>
      <c r="G22" s="8" t="str">
        <f t="array" ref="G22">IF(F22="","",IFERROR(INDEX('Item Master'!$B:$B,MATCH(F22,'Item Master'!$A:$A,0)),""))</f>
        <v/>
      </c>
      <c r="H22" s="8">
        <f>IF(F22="",0,SUMIFS('BOM Master'!$F:$F,'BOM Master'!$A:$A,C22,'BOM Master'!$D:$D,F22))</f>
        <v>0</v>
      </c>
      <c r="I22" s="8">
        <f t="shared" si="1"/>
        <v>0</v>
      </c>
      <c r="J22" s="8">
        <f t="array" ref="J22">IF(F22="",0,IFERROR(INDEX('Item Master'!$G:$G,MATCH(F22,'Item Master'!$A:$A,0)),0))</f>
        <v>0</v>
      </c>
      <c r="K22" s="8">
        <f t="shared" si="2"/>
        <v>0</v>
      </c>
      <c r="L22" s="19"/>
      <c r="M22" s="8" t="str">
        <f t="shared" si="3"/>
        <v/>
      </c>
      <c r="N22" s="8" t="str">
        <f t="shared" si="4"/>
        <v/>
      </c>
      <c r="O22" s="8" t="str">
        <f t="shared" si="5"/>
        <v/>
      </c>
      <c r="P22" s="8" t="str">
        <f t="shared" si="6"/>
        <v/>
      </c>
    </row>
    <row r="23" ht="15.75" customHeight="1">
      <c r="A23" s="19"/>
      <c r="B23" s="19"/>
      <c r="C23" s="19"/>
      <c r="D23" s="8" t="str">
        <f t="array" ref="D23">IF(C23="","",IFERROR(INDEX('Item Master'!$B:$B,MATCH(C23,'Item Master'!$A:$A,0)),""))</f>
        <v/>
      </c>
      <c r="E23" s="19"/>
      <c r="F23" s="19"/>
      <c r="G23" s="8" t="str">
        <f t="array" ref="G23">IF(F23="","",IFERROR(INDEX('Item Master'!$B:$B,MATCH(F23,'Item Master'!$A:$A,0)),""))</f>
        <v/>
      </c>
      <c r="H23" s="8">
        <f>IF(F23="",0,SUMIFS('BOM Master'!$F:$F,'BOM Master'!$A:$A,C23,'BOM Master'!$D:$D,F23))</f>
        <v>0</v>
      </c>
      <c r="I23" s="8">
        <f t="shared" si="1"/>
        <v>0</v>
      </c>
      <c r="J23" s="8">
        <f t="array" ref="J23">IF(F23="",0,IFERROR(INDEX('Item Master'!$G:$G,MATCH(F23,'Item Master'!$A:$A,0)),0))</f>
        <v>0</v>
      </c>
      <c r="K23" s="8">
        <f t="shared" si="2"/>
        <v>0</v>
      </c>
      <c r="L23" s="19"/>
      <c r="M23" s="8" t="str">
        <f t="shared" si="3"/>
        <v/>
      </c>
      <c r="N23" s="8" t="str">
        <f t="shared" si="4"/>
        <v/>
      </c>
      <c r="O23" s="8" t="str">
        <f t="shared" si="5"/>
        <v/>
      </c>
      <c r="P23" s="8" t="str">
        <f t="shared" si="6"/>
        <v/>
      </c>
    </row>
    <row r="24" ht="15.75" customHeight="1">
      <c r="A24" s="19"/>
      <c r="B24" s="19"/>
      <c r="C24" s="19"/>
      <c r="D24" s="8" t="str">
        <f t="array" ref="D24">IF(C24="","",IFERROR(INDEX('Item Master'!$B:$B,MATCH(C24,'Item Master'!$A:$A,0)),""))</f>
        <v/>
      </c>
      <c r="E24" s="19"/>
      <c r="F24" s="19"/>
      <c r="G24" s="8" t="str">
        <f t="array" ref="G24">IF(F24="","",IFERROR(INDEX('Item Master'!$B:$B,MATCH(F24,'Item Master'!$A:$A,0)),""))</f>
        <v/>
      </c>
      <c r="H24" s="8">
        <f>IF(F24="",0,SUMIFS('BOM Master'!$F:$F,'BOM Master'!$A:$A,C24,'BOM Master'!$D:$D,F24))</f>
        <v>0</v>
      </c>
      <c r="I24" s="8">
        <f t="shared" si="1"/>
        <v>0</v>
      </c>
      <c r="J24" s="8">
        <f t="array" ref="J24">IF(F24="",0,IFERROR(INDEX('Item Master'!$G:$G,MATCH(F24,'Item Master'!$A:$A,0)),0))</f>
        <v>0</v>
      </c>
      <c r="K24" s="8">
        <f t="shared" si="2"/>
        <v>0</v>
      </c>
      <c r="L24" s="19"/>
      <c r="M24" s="8" t="str">
        <f t="shared" si="3"/>
        <v/>
      </c>
      <c r="N24" s="8" t="str">
        <f t="shared" si="4"/>
        <v/>
      </c>
      <c r="O24" s="8" t="str">
        <f t="shared" si="5"/>
        <v/>
      </c>
      <c r="P24" s="8" t="str">
        <f t="shared" si="6"/>
        <v/>
      </c>
    </row>
    <row r="25" ht="15.75" customHeight="1">
      <c r="A25" s="19"/>
      <c r="B25" s="19"/>
      <c r="C25" s="19"/>
      <c r="D25" s="8" t="str">
        <f t="array" ref="D25">IF(C25="","",IFERROR(INDEX('Item Master'!$B:$B,MATCH(C25,'Item Master'!$A:$A,0)),""))</f>
        <v/>
      </c>
      <c r="E25" s="19"/>
      <c r="F25" s="19"/>
      <c r="G25" s="8" t="str">
        <f t="array" ref="G25">IF(F25="","",IFERROR(INDEX('Item Master'!$B:$B,MATCH(F25,'Item Master'!$A:$A,0)),""))</f>
        <v/>
      </c>
      <c r="H25" s="8">
        <f>IF(F25="",0,SUMIFS('BOM Master'!$F:$F,'BOM Master'!$A:$A,C25,'BOM Master'!$D:$D,F25))</f>
        <v>0</v>
      </c>
      <c r="I25" s="8">
        <f t="shared" si="1"/>
        <v>0</v>
      </c>
      <c r="J25" s="8">
        <f t="array" ref="J25">IF(F25="",0,IFERROR(INDEX('Item Master'!$G:$G,MATCH(F25,'Item Master'!$A:$A,0)),0))</f>
        <v>0</v>
      </c>
      <c r="K25" s="8">
        <f t="shared" si="2"/>
        <v>0</v>
      </c>
      <c r="L25" s="19"/>
      <c r="M25" s="8" t="str">
        <f t="shared" si="3"/>
        <v/>
      </c>
      <c r="N25" s="8" t="str">
        <f t="shared" si="4"/>
        <v/>
      </c>
      <c r="O25" s="8" t="str">
        <f t="shared" si="5"/>
        <v/>
      </c>
      <c r="P25" s="8" t="str">
        <f t="shared" si="6"/>
        <v/>
      </c>
    </row>
    <row r="26" ht="15.75" customHeight="1">
      <c r="A26" s="19"/>
      <c r="B26" s="19"/>
      <c r="C26" s="19"/>
      <c r="D26" s="8" t="str">
        <f t="array" ref="D26">IF(C26="","",IFERROR(INDEX('Item Master'!$B:$B,MATCH(C26,'Item Master'!$A:$A,0)),""))</f>
        <v/>
      </c>
      <c r="E26" s="19"/>
      <c r="F26" s="19"/>
      <c r="G26" s="8" t="str">
        <f t="array" ref="G26">IF(F26="","",IFERROR(INDEX('Item Master'!$B:$B,MATCH(F26,'Item Master'!$A:$A,0)),""))</f>
        <v/>
      </c>
      <c r="H26" s="8">
        <f>IF(F26="",0,SUMIFS('BOM Master'!$F:$F,'BOM Master'!$A:$A,C26,'BOM Master'!$D:$D,F26))</f>
        <v>0</v>
      </c>
      <c r="I26" s="8">
        <f t="shared" si="1"/>
        <v>0</v>
      </c>
      <c r="J26" s="8">
        <f t="array" ref="J26">IF(F26="",0,IFERROR(INDEX('Item Master'!$G:$G,MATCH(F26,'Item Master'!$A:$A,0)),0))</f>
        <v>0</v>
      </c>
      <c r="K26" s="8">
        <f t="shared" si="2"/>
        <v>0</v>
      </c>
      <c r="L26" s="19"/>
      <c r="M26" s="8" t="str">
        <f t="shared" si="3"/>
        <v/>
      </c>
      <c r="N26" s="8" t="str">
        <f t="shared" si="4"/>
        <v/>
      </c>
      <c r="O26" s="8" t="str">
        <f t="shared" si="5"/>
        <v/>
      </c>
      <c r="P26" s="8" t="str">
        <f t="shared" si="6"/>
        <v/>
      </c>
    </row>
    <row r="27" ht="15.75" customHeight="1">
      <c r="A27" s="19"/>
      <c r="B27" s="19"/>
      <c r="C27" s="19"/>
      <c r="D27" s="8" t="str">
        <f t="array" ref="D27">IF(C27="","",IFERROR(INDEX('Item Master'!$B:$B,MATCH(C27,'Item Master'!$A:$A,0)),""))</f>
        <v/>
      </c>
      <c r="E27" s="19"/>
      <c r="F27" s="19"/>
      <c r="G27" s="8" t="str">
        <f t="array" ref="G27">IF(F27="","",IFERROR(INDEX('Item Master'!$B:$B,MATCH(F27,'Item Master'!$A:$A,0)),""))</f>
        <v/>
      </c>
      <c r="H27" s="8">
        <f>IF(F27="",0,SUMIFS('BOM Master'!$F:$F,'BOM Master'!$A:$A,C27,'BOM Master'!$D:$D,F27))</f>
        <v>0</v>
      </c>
      <c r="I27" s="8">
        <f t="shared" si="1"/>
        <v>0</v>
      </c>
      <c r="J27" s="8">
        <f t="array" ref="J27">IF(F27="",0,IFERROR(INDEX('Item Master'!$G:$G,MATCH(F27,'Item Master'!$A:$A,0)),0))</f>
        <v>0</v>
      </c>
      <c r="K27" s="8">
        <f t="shared" si="2"/>
        <v>0</v>
      </c>
      <c r="L27" s="19"/>
      <c r="M27" s="8" t="str">
        <f t="shared" si="3"/>
        <v/>
      </c>
      <c r="N27" s="8" t="str">
        <f t="shared" si="4"/>
        <v/>
      </c>
      <c r="O27" s="8" t="str">
        <f t="shared" si="5"/>
        <v/>
      </c>
      <c r="P27" s="8" t="str">
        <f t="shared" si="6"/>
        <v/>
      </c>
    </row>
    <row r="28" ht="15.75" customHeight="1">
      <c r="A28" s="19"/>
      <c r="B28" s="19"/>
      <c r="C28" s="19"/>
      <c r="D28" s="8" t="str">
        <f t="array" ref="D28">IF(C28="","",IFERROR(INDEX('Item Master'!$B:$B,MATCH(C28,'Item Master'!$A:$A,0)),""))</f>
        <v/>
      </c>
      <c r="E28" s="19"/>
      <c r="F28" s="19"/>
      <c r="G28" s="8" t="str">
        <f t="array" ref="G28">IF(F28="","",IFERROR(INDEX('Item Master'!$B:$B,MATCH(F28,'Item Master'!$A:$A,0)),""))</f>
        <v/>
      </c>
      <c r="H28" s="8">
        <f>IF(F28="",0,SUMIFS('BOM Master'!$F:$F,'BOM Master'!$A:$A,C28,'BOM Master'!$D:$D,F28))</f>
        <v>0</v>
      </c>
      <c r="I28" s="8">
        <f t="shared" si="1"/>
        <v>0</v>
      </c>
      <c r="J28" s="8">
        <f t="array" ref="J28">IF(F28="",0,IFERROR(INDEX('Item Master'!$G:$G,MATCH(F28,'Item Master'!$A:$A,0)),0))</f>
        <v>0</v>
      </c>
      <c r="K28" s="8">
        <f t="shared" si="2"/>
        <v>0</v>
      </c>
      <c r="L28" s="19"/>
      <c r="M28" s="8" t="str">
        <f t="shared" si="3"/>
        <v/>
      </c>
      <c r="N28" s="8" t="str">
        <f t="shared" si="4"/>
        <v/>
      </c>
      <c r="O28" s="8" t="str">
        <f t="shared" si="5"/>
        <v/>
      </c>
      <c r="P28" s="8" t="str">
        <f t="shared" si="6"/>
        <v/>
      </c>
    </row>
    <row r="29" ht="15.75" customHeight="1">
      <c r="A29" s="19"/>
      <c r="B29" s="19"/>
      <c r="C29" s="19"/>
      <c r="D29" s="8" t="str">
        <f t="array" ref="D29">IF(C29="","",IFERROR(INDEX('Item Master'!$B:$B,MATCH(C29,'Item Master'!$A:$A,0)),""))</f>
        <v/>
      </c>
      <c r="E29" s="19"/>
      <c r="F29" s="19"/>
      <c r="G29" s="8" t="str">
        <f t="array" ref="G29">IF(F29="","",IFERROR(INDEX('Item Master'!$B:$B,MATCH(F29,'Item Master'!$A:$A,0)),""))</f>
        <v/>
      </c>
      <c r="H29" s="8">
        <f>IF(F29="",0,SUMIFS('BOM Master'!$F:$F,'BOM Master'!$A:$A,C29,'BOM Master'!$D:$D,F29))</f>
        <v>0</v>
      </c>
      <c r="I29" s="8">
        <f t="shared" si="1"/>
        <v>0</v>
      </c>
      <c r="J29" s="8">
        <f t="array" ref="J29">IF(F29="",0,IFERROR(INDEX('Item Master'!$G:$G,MATCH(F29,'Item Master'!$A:$A,0)),0))</f>
        <v>0</v>
      </c>
      <c r="K29" s="8">
        <f t="shared" si="2"/>
        <v>0</v>
      </c>
      <c r="L29" s="19"/>
      <c r="M29" s="8" t="str">
        <f t="shared" si="3"/>
        <v/>
      </c>
      <c r="N29" s="8" t="str">
        <f t="shared" si="4"/>
        <v/>
      </c>
      <c r="O29" s="8" t="str">
        <f t="shared" si="5"/>
        <v/>
      </c>
      <c r="P29" s="8" t="str">
        <f t="shared" si="6"/>
        <v/>
      </c>
    </row>
    <row r="30" ht="15.75" customHeight="1">
      <c r="A30" s="19"/>
      <c r="B30" s="19"/>
      <c r="C30" s="19"/>
      <c r="D30" s="8" t="str">
        <f t="array" ref="D30">IF(C30="","",IFERROR(INDEX('Item Master'!$B:$B,MATCH(C30,'Item Master'!$A:$A,0)),""))</f>
        <v/>
      </c>
      <c r="E30" s="19"/>
      <c r="F30" s="19"/>
      <c r="G30" s="8" t="str">
        <f t="array" ref="G30">IF(F30="","",IFERROR(INDEX('Item Master'!$B:$B,MATCH(F30,'Item Master'!$A:$A,0)),""))</f>
        <v/>
      </c>
      <c r="H30" s="8">
        <f>IF(F30="",0,SUMIFS('BOM Master'!$F:$F,'BOM Master'!$A:$A,C30,'BOM Master'!$D:$D,F30))</f>
        <v>0</v>
      </c>
      <c r="I30" s="8">
        <f t="shared" si="1"/>
        <v>0</v>
      </c>
      <c r="J30" s="8">
        <f t="array" ref="J30">IF(F30="",0,IFERROR(INDEX('Item Master'!$G:$G,MATCH(F30,'Item Master'!$A:$A,0)),0))</f>
        <v>0</v>
      </c>
      <c r="K30" s="8">
        <f t="shared" si="2"/>
        <v>0</v>
      </c>
      <c r="L30" s="19"/>
      <c r="M30" s="8" t="str">
        <f t="shared" si="3"/>
        <v/>
      </c>
      <c r="N30" s="8" t="str">
        <f t="shared" si="4"/>
        <v/>
      </c>
      <c r="O30" s="8" t="str">
        <f t="shared" si="5"/>
        <v/>
      </c>
      <c r="P30" s="8" t="str">
        <f t="shared" si="6"/>
        <v/>
      </c>
    </row>
    <row r="31" ht="15.75" customHeight="1">
      <c r="A31" s="19"/>
      <c r="B31" s="19"/>
      <c r="C31" s="19"/>
      <c r="D31" s="8" t="str">
        <f t="array" ref="D31">IF(C31="","",IFERROR(INDEX('Item Master'!$B:$B,MATCH(C31,'Item Master'!$A:$A,0)),""))</f>
        <v/>
      </c>
      <c r="E31" s="19"/>
      <c r="F31" s="19"/>
      <c r="G31" s="8" t="str">
        <f t="array" ref="G31">IF(F31="","",IFERROR(INDEX('Item Master'!$B:$B,MATCH(F31,'Item Master'!$A:$A,0)),""))</f>
        <v/>
      </c>
      <c r="H31" s="8">
        <f>IF(F31="",0,SUMIFS('BOM Master'!$F:$F,'BOM Master'!$A:$A,C31,'BOM Master'!$D:$D,F31))</f>
        <v>0</v>
      </c>
      <c r="I31" s="8">
        <f t="shared" si="1"/>
        <v>0</v>
      </c>
      <c r="J31" s="8">
        <f t="array" ref="J31">IF(F31="",0,IFERROR(INDEX('Item Master'!$G:$G,MATCH(F31,'Item Master'!$A:$A,0)),0))</f>
        <v>0</v>
      </c>
      <c r="K31" s="8">
        <f t="shared" si="2"/>
        <v>0</v>
      </c>
      <c r="L31" s="19"/>
      <c r="M31" s="8" t="str">
        <f t="shared" si="3"/>
        <v/>
      </c>
      <c r="N31" s="8" t="str">
        <f t="shared" si="4"/>
        <v/>
      </c>
      <c r="O31" s="8" t="str">
        <f t="shared" si="5"/>
        <v/>
      </c>
      <c r="P31" s="8" t="str">
        <f t="shared" si="6"/>
        <v/>
      </c>
    </row>
    <row r="32" ht="15.75" customHeight="1">
      <c r="A32" s="19"/>
      <c r="B32" s="19"/>
      <c r="C32" s="19"/>
      <c r="D32" s="8" t="str">
        <f t="array" ref="D32">IF(C32="","",IFERROR(INDEX('Item Master'!$B:$B,MATCH(C32,'Item Master'!$A:$A,0)),""))</f>
        <v/>
      </c>
      <c r="E32" s="19"/>
      <c r="F32" s="19"/>
      <c r="G32" s="8" t="str">
        <f t="array" ref="G32">IF(F32="","",IFERROR(INDEX('Item Master'!$B:$B,MATCH(F32,'Item Master'!$A:$A,0)),""))</f>
        <v/>
      </c>
      <c r="H32" s="8">
        <f>IF(F32="",0,SUMIFS('BOM Master'!$F:$F,'BOM Master'!$A:$A,C32,'BOM Master'!$D:$D,F32))</f>
        <v>0</v>
      </c>
      <c r="I32" s="8">
        <f t="shared" si="1"/>
        <v>0</v>
      </c>
      <c r="J32" s="8">
        <f t="array" ref="J32">IF(F32="",0,IFERROR(INDEX('Item Master'!$G:$G,MATCH(F32,'Item Master'!$A:$A,0)),0))</f>
        <v>0</v>
      </c>
      <c r="K32" s="8">
        <f t="shared" si="2"/>
        <v>0</v>
      </c>
      <c r="L32" s="19"/>
      <c r="M32" s="8" t="str">
        <f t="shared" si="3"/>
        <v/>
      </c>
      <c r="N32" s="8" t="str">
        <f t="shared" si="4"/>
        <v/>
      </c>
      <c r="O32" s="8" t="str">
        <f t="shared" si="5"/>
        <v/>
      </c>
      <c r="P32" s="8" t="str">
        <f t="shared" si="6"/>
        <v/>
      </c>
    </row>
    <row r="33" ht="15.75" customHeight="1">
      <c r="A33" s="19"/>
      <c r="B33" s="19"/>
      <c r="C33" s="19"/>
      <c r="D33" s="8" t="str">
        <f t="array" ref="D33">IF(C33="","",IFERROR(INDEX('Item Master'!$B:$B,MATCH(C33,'Item Master'!$A:$A,0)),""))</f>
        <v/>
      </c>
      <c r="E33" s="19"/>
      <c r="F33" s="19"/>
      <c r="G33" s="8" t="str">
        <f t="array" ref="G33">IF(F33="","",IFERROR(INDEX('Item Master'!$B:$B,MATCH(F33,'Item Master'!$A:$A,0)),""))</f>
        <v/>
      </c>
      <c r="H33" s="8">
        <f>IF(F33="",0,SUMIFS('BOM Master'!$F:$F,'BOM Master'!$A:$A,C33,'BOM Master'!$D:$D,F33))</f>
        <v>0</v>
      </c>
      <c r="I33" s="8">
        <f t="shared" si="1"/>
        <v>0</v>
      </c>
      <c r="J33" s="8">
        <f t="array" ref="J33">IF(F33="",0,IFERROR(INDEX('Item Master'!$G:$G,MATCH(F33,'Item Master'!$A:$A,0)),0))</f>
        <v>0</v>
      </c>
      <c r="K33" s="8">
        <f t="shared" si="2"/>
        <v>0</v>
      </c>
      <c r="L33" s="19"/>
      <c r="M33" s="8" t="str">
        <f t="shared" si="3"/>
        <v/>
      </c>
      <c r="N33" s="8" t="str">
        <f t="shared" si="4"/>
        <v/>
      </c>
      <c r="O33" s="8" t="str">
        <f t="shared" si="5"/>
        <v/>
      </c>
      <c r="P33" s="8" t="str">
        <f t="shared" si="6"/>
        <v/>
      </c>
    </row>
    <row r="34" ht="15.75" customHeight="1">
      <c r="A34" s="19"/>
      <c r="B34" s="19"/>
      <c r="C34" s="19"/>
      <c r="D34" s="8" t="str">
        <f t="array" ref="D34">IF(C34="","",IFERROR(INDEX('Item Master'!$B:$B,MATCH(C34,'Item Master'!$A:$A,0)),""))</f>
        <v/>
      </c>
      <c r="E34" s="19"/>
      <c r="F34" s="19"/>
      <c r="G34" s="8" t="str">
        <f t="array" ref="G34">IF(F34="","",IFERROR(INDEX('Item Master'!$B:$B,MATCH(F34,'Item Master'!$A:$A,0)),""))</f>
        <v/>
      </c>
      <c r="H34" s="8">
        <f>IF(F34="",0,SUMIFS('BOM Master'!$F:$F,'BOM Master'!$A:$A,C34,'BOM Master'!$D:$D,F34))</f>
        <v>0</v>
      </c>
      <c r="I34" s="8">
        <f t="shared" si="1"/>
        <v>0</v>
      </c>
      <c r="J34" s="8">
        <f t="array" ref="J34">IF(F34="",0,IFERROR(INDEX('Item Master'!$G:$G,MATCH(F34,'Item Master'!$A:$A,0)),0))</f>
        <v>0</v>
      </c>
      <c r="K34" s="8">
        <f t="shared" si="2"/>
        <v>0</v>
      </c>
      <c r="L34" s="19"/>
      <c r="M34" s="8" t="str">
        <f t="shared" si="3"/>
        <v/>
      </c>
      <c r="N34" s="8" t="str">
        <f t="shared" si="4"/>
        <v/>
      </c>
      <c r="O34" s="8" t="str">
        <f t="shared" si="5"/>
        <v/>
      </c>
      <c r="P34" s="8" t="str">
        <f t="shared" si="6"/>
        <v/>
      </c>
    </row>
    <row r="35" ht="15.75" customHeight="1">
      <c r="A35" s="19"/>
      <c r="B35" s="19"/>
      <c r="C35" s="19"/>
      <c r="D35" s="8" t="str">
        <f t="array" ref="D35">IF(C35="","",IFERROR(INDEX('Item Master'!$B:$B,MATCH(C35,'Item Master'!$A:$A,0)),""))</f>
        <v/>
      </c>
      <c r="E35" s="19"/>
      <c r="F35" s="19"/>
      <c r="G35" s="8" t="str">
        <f t="array" ref="G35">IF(F35="","",IFERROR(INDEX('Item Master'!$B:$B,MATCH(F35,'Item Master'!$A:$A,0)),""))</f>
        <v/>
      </c>
      <c r="H35" s="8">
        <f>IF(F35="",0,SUMIFS('BOM Master'!$F:$F,'BOM Master'!$A:$A,C35,'BOM Master'!$D:$D,F35))</f>
        <v>0</v>
      </c>
      <c r="I35" s="8">
        <f t="shared" si="1"/>
        <v>0</v>
      </c>
      <c r="J35" s="8">
        <f t="array" ref="J35">IF(F35="",0,IFERROR(INDEX('Item Master'!$G:$G,MATCH(F35,'Item Master'!$A:$A,0)),0))</f>
        <v>0</v>
      </c>
      <c r="K35" s="8">
        <f t="shared" si="2"/>
        <v>0</v>
      </c>
      <c r="L35" s="19"/>
      <c r="M35" s="8" t="str">
        <f t="shared" si="3"/>
        <v/>
      </c>
      <c r="N35" s="8" t="str">
        <f t="shared" si="4"/>
        <v/>
      </c>
      <c r="O35" s="8" t="str">
        <f t="shared" si="5"/>
        <v/>
      </c>
      <c r="P35" s="8" t="str">
        <f t="shared" si="6"/>
        <v/>
      </c>
    </row>
    <row r="36" ht="15.75" customHeight="1">
      <c r="A36" s="19"/>
      <c r="B36" s="19"/>
      <c r="C36" s="19"/>
      <c r="D36" s="8" t="str">
        <f t="array" ref="D36">IF(C36="","",IFERROR(INDEX('Item Master'!$B:$B,MATCH(C36,'Item Master'!$A:$A,0)),""))</f>
        <v/>
      </c>
      <c r="E36" s="19"/>
      <c r="F36" s="19"/>
      <c r="G36" s="8" t="str">
        <f t="array" ref="G36">IF(F36="","",IFERROR(INDEX('Item Master'!$B:$B,MATCH(F36,'Item Master'!$A:$A,0)),""))</f>
        <v/>
      </c>
      <c r="H36" s="8">
        <f>IF(F36="",0,SUMIFS('BOM Master'!$F:$F,'BOM Master'!$A:$A,C36,'BOM Master'!$D:$D,F36))</f>
        <v>0</v>
      </c>
      <c r="I36" s="8">
        <f t="shared" si="1"/>
        <v>0</v>
      </c>
      <c r="J36" s="8">
        <f t="array" ref="J36">IF(F36="",0,IFERROR(INDEX('Item Master'!$G:$G,MATCH(F36,'Item Master'!$A:$A,0)),0))</f>
        <v>0</v>
      </c>
      <c r="K36" s="8">
        <f t="shared" si="2"/>
        <v>0</v>
      </c>
      <c r="L36" s="19"/>
      <c r="M36" s="8" t="str">
        <f t="shared" si="3"/>
        <v/>
      </c>
      <c r="N36" s="8" t="str">
        <f t="shared" si="4"/>
        <v/>
      </c>
      <c r="O36" s="8" t="str">
        <f t="shared" si="5"/>
        <v/>
      </c>
      <c r="P36" s="8" t="str">
        <f t="shared" si="6"/>
        <v/>
      </c>
    </row>
    <row r="37" ht="15.75" customHeight="1">
      <c r="A37" s="19"/>
      <c r="B37" s="19"/>
      <c r="C37" s="19"/>
      <c r="D37" s="8" t="str">
        <f t="array" ref="D37">IF(C37="","",IFERROR(INDEX('Item Master'!$B:$B,MATCH(C37,'Item Master'!$A:$A,0)),""))</f>
        <v/>
      </c>
      <c r="E37" s="19"/>
      <c r="F37" s="19"/>
      <c r="G37" s="8" t="str">
        <f t="array" ref="G37">IF(F37="","",IFERROR(INDEX('Item Master'!$B:$B,MATCH(F37,'Item Master'!$A:$A,0)),""))</f>
        <v/>
      </c>
      <c r="H37" s="8">
        <f>IF(F37="",0,SUMIFS('BOM Master'!$F:$F,'BOM Master'!$A:$A,C37,'BOM Master'!$D:$D,F37))</f>
        <v>0</v>
      </c>
      <c r="I37" s="8">
        <f t="shared" si="1"/>
        <v>0</v>
      </c>
      <c r="J37" s="8">
        <f t="array" ref="J37">IF(F37="",0,IFERROR(INDEX('Item Master'!$G:$G,MATCH(F37,'Item Master'!$A:$A,0)),0))</f>
        <v>0</v>
      </c>
      <c r="K37" s="8">
        <f t="shared" si="2"/>
        <v>0</v>
      </c>
      <c r="L37" s="19"/>
      <c r="M37" s="8" t="str">
        <f t="shared" si="3"/>
        <v/>
      </c>
      <c r="N37" s="8" t="str">
        <f t="shared" si="4"/>
        <v/>
      </c>
      <c r="O37" s="8" t="str">
        <f t="shared" si="5"/>
        <v/>
      </c>
      <c r="P37" s="8" t="str">
        <f t="shared" si="6"/>
        <v/>
      </c>
    </row>
    <row r="38" ht="15.75" customHeight="1">
      <c r="A38" s="19"/>
      <c r="B38" s="19"/>
      <c r="C38" s="19"/>
      <c r="D38" s="8" t="str">
        <f t="array" ref="D38">IF(C38="","",IFERROR(INDEX('Item Master'!$B:$B,MATCH(C38,'Item Master'!$A:$A,0)),""))</f>
        <v/>
      </c>
      <c r="E38" s="19"/>
      <c r="F38" s="19"/>
      <c r="G38" s="8" t="str">
        <f t="array" ref="G38">IF(F38="","",IFERROR(INDEX('Item Master'!$B:$B,MATCH(F38,'Item Master'!$A:$A,0)),""))</f>
        <v/>
      </c>
      <c r="H38" s="8">
        <f>IF(F38="",0,SUMIFS('BOM Master'!$F:$F,'BOM Master'!$A:$A,C38,'BOM Master'!$D:$D,F38))</f>
        <v>0</v>
      </c>
      <c r="I38" s="8">
        <f t="shared" si="1"/>
        <v>0</v>
      </c>
      <c r="J38" s="8">
        <f t="array" ref="J38">IF(F38="",0,IFERROR(INDEX('Item Master'!$G:$G,MATCH(F38,'Item Master'!$A:$A,0)),0))</f>
        <v>0</v>
      </c>
      <c r="K38" s="8">
        <f t="shared" si="2"/>
        <v>0</v>
      </c>
      <c r="L38" s="19"/>
      <c r="M38" s="8" t="str">
        <f t="shared" si="3"/>
        <v/>
      </c>
      <c r="N38" s="8" t="str">
        <f t="shared" si="4"/>
        <v/>
      </c>
      <c r="O38" s="8" t="str">
        <f t="shared" si="5"/>
        <v/>
      </c>
      <c r="P38" s="8" t="str">
        <f t="shared" si="6"/>
        <v/>
      </c>
    </row>
    <row r="39" ht="15.75" customHeight="1">
      <c r="A39" s="19"/>
      <c r="B39" s="19"/>
      <c r="C39" s="19"/>
      <c r="D39" s="8" t="str">
        <f t="array" ref="D39">IF(C39="","",IFERROR(INDEX('Item Master'!$B:$B,MATCH(C39,'Item Master'!$A:$A,0)),""))</f>
        <v/>
      </c>
      <c r="E39" s="19"/>
      <c r="F39" s="19"/>
      <c r="G39" s="8" t="str">
        <f t="array" ref="G39">IF(F39="","",IFERROR(INDEX('Item Master'!$B:$B,MATCH(F39,'Item Master'!$A:$A,0)),""))</f>
        <v/>
      </c>
      <c r="H39" s="8">
        <f>IF(F39="",0,SUMIFS('BOM Master'!$F:$F,'BOM Master'!$A:$A,C39,'BOM Master'!$D:$D,F39))</f>
        <v>0</v>
      </c>
      <c r="I39" s="8">
        <f t="shared" si="1"/>
        <v>0</v>
      </c>
      <c r="J39" s="8">
        <f t="array" ref="J39">IF(F39="",0,IFERROR(INDEX('Item Master'!$G:$G,MATCH(F39,'Item Master'!$A:$A,0)),0))</f>
        <v>0</v>
      </c>
      <c r="K39" s="8">
        <f t="shared" si="2"/>
        <v>0</v>
      </c>
      <c r="L39" s="19"/>
      <c r="M39" s="8" t="str">
        <f t="shared" si="3"/>
        <v/>
      </c>
      <c r="N39" s="8" t="str">
        <f t="shared" si="4"/>
        <v/>
      </c>
      <c r="O39" s="8" t="str">
        <f t="shared" si="5"/>
        <v/>
      </c>
      <c r="P39" s="8" t="str">
        <f t="shared" si="6"/>
        <v/>
      </c>
    </row>
    <row r="40" ht="15.75" customHeight="1">
      <c r="A40" s="19"/>
      <c r="B40" s="19"/>
      <c r="C40" s="19"/>
      <c r="D40" s="8" t="str">
        <f t="array" ref="D40">IF(C40="","",IFERROR(INDEX('Item Master'!$B:$B,MATCH(C40,'Item Master'!$A:$A,0)),""))</f>
        <v/>
      </c>
      <c r="E40" s="19"/>
      <c r="F40" s="19"/>
      <c r="G40" s="8" t="str">
        <f t="array" ref="G40">IF(F40="","",IFERROR(INDEX('Item Master'!$B:$B,MATCH(F40,'Item Master'!$A:$A,0)),""))</f>
        <v/>
      </c>
      <c r="H40" s="8">
        <f>IF(F40="",0,SUMIFS('BOM Master'!$F:$F,'BOM Master'!$A:$A,C40,'BOM Master'!$D:$D,F40))</f>
        <v>0</v>
      </c>
      <c r="I40" s="8">
        <f t="shared" si="1"/>
        <v>0</v>
      </c>
      <c r="J40" s="8">
        <f t="array" ref="J40">IF(F40="",0,IFERROR(INDEX('Item Master'!$G:$G,MATCH(F40,'Item Master'!$A:$A,0)),0))</f>
        <v>0</v>
      </c>
      <c r="K40" s="8">
        <f t="shared" si="2"/>
        <v>0</v>
      </c>
      <c r="L40" s="19"/>
      <c r="M40" s="8" t="str">
        <f t="shared" si="3"/>
        <v/>
      </c>
      <c r="N40" s="8" t="str">
        <f t="shared" si="4"/>
        <v/>
      </c>
      <c r="O40" s="8" t="str">
        <f t="shared" si="5"/>
        <v/>
      </c>
      <c r="P40" s="8" t="str">
        <f t="shared" si="6"/>
        <v/>
      </c>
    </row>
    <row r="41" ht="15.75" customHeight="1">
      <c r="A41" s="19"/>
      <c r="B41" s="19"/>
      <c r="C41" s="19"/>
      <c r="D41" s="8" t="str">
        <f t="array" ref="D41">IF(C41="","",IFERROR(INDEX('Item Master'!$B:$B,MATCH(C41,'Item Master'!$A:$A,0)),""))</f>
        <v/>
      </c>
      <c r="E41" s="19"/>
      <c r="F41" s="19"/>
      <c r="G41" s="8" t="str">
        <f t="array" ref="G41">IF(F41="","",IFERROR(INDEX('Item Master'!$B:$B,MATCH(F41,'Item Master'!$A:$A,0)),""))</f>
        <v/>
      </c>
      <c r="H41" s="8">
        <f>IF(F41="",0,SUMIFS('BOM Master'!$F:$F,'BOM Master'!$A:$A,C41,'BOM Master'!$D:$D,F41))</f>
        <v>0</v>
      </c>
      <c r="I41" s="8">
        <f t="shared" si="1"/>
        <v>0</v>
      </c>
      <c r="J41" s="8">
        <f t="array" ref="J41">IF(F41="",0,IFERROR(INDEX('Item Master'!$G:$G,MATCH(F41,'Item Master'!$A:$A,0)),0))</f>
        <v>0</v>
      </c>
      <c r="K41" s="8">
        <f t="shared" si="2"/>
        <v>0</v>
      </c>
      <c r="L41" s="19"/>
      <c r="M41" s="8" t="str">
        <f t="shared" si="3"/>
        <v/>
      </c>
      <c r="N41" s="8" t="str">
        <f t="shared" si="4"/>
        <v/>
      </c>
      <c r="O41" s="8" t="str">
        <f t="shared" si="5"/>
        <v/>
      </c>
      <c r="P41" s="8" t="str">
        <f t="shared" si="6"/>
        <v/>
      </c>
    </row>
    <row r="42" ht="15.75" customHeight="1">
      <c r="A42" s="19"/>
      <c r="B42" s="19"/>
      <c r="C42" s="19"/>
      <c r="D42" s="8" t="str">
        <f t="array" ref="D42">IF(C42="","",IFERROR(INDEX('Item Master'!$B:$B,MATCH(C42,'Item Master'!$A:$A,0)),""))</f>
        <v/>
      </c>
      <c r="E42" s="19"/>
      <c r="F42" s="19"/>
      <c r="G42" s="8" t="str">
        <f t="array" ref="G42">IF(F42="","",IFERROR(INDEX('Item Master'!$B:$B,MATCH(F42,'Item Master'!$A:$A,0)),""))</f>
        <v/>
      </c>
      <c r="H42" s="8">
        <f>IF(F42="",0,SUMIFS('BOM Master'!$F:$F,'BOM Master'!$A:$A,C42,'BOM Master'!$D:$D,F42))</f>
        <v>0</v>
      </c>
      <c r="I42" s="8">
        <f t="shared" si="1"/>
        <v>0</v>
      </c>
      <c r="J42" s="8">
        <f t="array" ref="J42">IF(F42="",0,IFERROR(INDEX('Item Master'!$G:$G,MATCH(F42,'Item Master'!$A:$A,0)),0))</f>
        <v>0</v>
      </c>
      <c r="K42" s="8">
        <f t="shared" si="2"/>
        <v>0</v>
      </c>
      <c r="L42" s="19"/>
      <c r="M42" s="8" t="str">
        <f t="shared" si="3"/>
        <v/>
      </c>
      <c r="N42" s="8" t="str">
        <f t="shared" si="4"/>
        <v/>
      </c>
      <c r="O42" s="8" t="str">
        <f t="shared" si="5"/>
        <v/>
      </c>
      <c r="P42" s="8" t="str">
        <f t="shared" si="6"/>
        <v/>
      </c>
    </row>
    <row r="43" ht="15.75" customHeight="1">
      <c r="A43" s="19"/>
      <c r="B43" s="19"/>
      <c r="C43" s="19"/>
      <c r="D43" s="8" t="str">
        <f t="array" ref="D43">IF(C43="","",IFERROR(INDEX('Item Master'!$B:$B,MATCH(C43,'Item Master'!$A:$A,0)),""))</f>
        <v/>
      </c>
      <c r="E43" s="19"/>
      <c r="F43" s="19"/>
      <c r="G43" s="8" t="str">
        <f t="array" ref="G43">IF(F43="","",IFERROR(INDEX('Item Master'!$B:$B,MATCH(F43,'Item Master'!$A:$A,0)),""))</f>
        <v/>
      </c>
      <c r="H43" s="8">
        <f>IF(F43="",0,SUMIFS('BOM Master'!$F:$F,'BOM Master'!$A:$A,C43,'BOM Master'!$D:$D,F43))</f>
        <v>0</v>
      </c>
      <c r="I43" s="8">
        <f t="shared" si="1"/>
        <v>0</v>
      </c>
      <c r="J43" s="8">
        <f t="array" ref="J43">IF(F43="",0,IFERROR(INDEX('Item Master'!$G:$G,MATCH(F43,'Item Master'!$A:$A,0)),0))</f>
        <v>0</v>
      </c>
      <c r="K43" s="8">
        <f t="shared" si="2"/>
        <v>0</v>
      </c>
      <c r="L43" s="19"/>
      <c r="M43" s="8" t="str">
        <f t="shared" si="3"/>
        <v/>
      </c>
      <c r="N43" s="8" t="str">
        <f t="shared" si="4"/>
        <v/>
      </c>
      <c r="O43" s="8" t="str">
        <f t="shared" si="5"/>
        <v/>
      </c>
      <c r="P43" s="8" t="str">
        <f t="shared" si="6"/>
        <v/>
      </c>
    </row>
    <row r="44" ht="15.75" customHeight="1">
      <c r="A44" s="19"/>
      <c r="B44" s="19"/>
      <c r="C44" s="19"/>
      <c r="D44" s="8" t="str">
        <f t="array" ref="D44">IF(C44="","",IFERROR(INDEX('Item Master'!$B:$B,MATCH(C44,'Item Master'!$A:$A,0)),""))</f>
        <v/>
      </c>
      <c r="E44" s="19"/>
      <c r="F44" s="19"/>
      <c r="G44" s="8" t="str">
        <f t="array" ref="G44">IF(F44="","",IFERROR(INDEX('Item Master'!$B:$B,MATCH(F44,'Item Master'!$A:$A,0)),""))</f>
        <v/>
      </c>
      <c r="H44" s="8">
        <f>IF(F44="",0,SUMIFS('BOM Master'!$F:$F,'BOM Master'!$A:$A,C44,'BOM Master'!$D:$D,F44))</f>
        <v>0</v>
      </c>
      <c r="I44" s="8">
        <f t="shared" si="1"/>
        <v>0</v>
      </c>
      <c r="J44" s="8">
        <f t="array" ref="J44">IF(F44="",0,IFERROR(INDEX('Item Master'!$G:$G,MATCH(F44,'Item Master'!$A:$A,0)),0))</f>
        <v>0</v>
      </c>
      <c r="K44" s="8">
        <f t="shared" si="2"/>
        <v>0</v>
      </c>
      <c r="L44" s="19"/>
      <c r="M44" s="8" t="str">
        <f t="shared" si="3"/>
        <v/>
      </c>
      <c r="N44" s="8" t="str">
        <f t="shared" si="4"/>
        <v/>
      </c>
      <c r="O44" s="8" t="str">
        <f t="shared" si="5"/>
        <v/>
      </c>
      <c r="P44" s="8" t="str">
        <f t="shared" si="6"/>
        <v/>
      </c>
    </row>
    <row r="45" ht="15.75" customHeight="1">
      <c r="A45" s="19"/>
      <c r="B45" s="19"/>
      <c r="C45" s="19"/>
      <c r="D45" s="8" t="str">
        <f t="array" ref="D45">IF(C45="","",IFERROR(INDEX('Item Master'!$B:$B,MATCH(C45,'Item Master'!$A:$A,0)),""))</f>
        <v/>
      </c>
      <c r="E45" s="19"/>
      <c r="F45" s="19"/>
      <c r="G45" s="8" t="str">
        <f t="array" ref="G45">IF(F45="","",IFERROR(INDEX('Item Master'!$B:$B,MATCH(F45,'Item Master'!$A:$A,0)),""))</f>
        <v/>
      </c>
      <c r="H45" s="8">
        <f>IF(F45="",0,SUMIFS('BOM Master'!$F:$F,'BOM Master'!$A:$A,C45,'BOM Master'!$D:$D,F45))</f>
        <v>0</v>
      </c>
      <c r="I45" s="8">
        <f t="shared" si="1"/>
        <v>0</v>
      </c>
      <c r="J45" s="8">
        <f t="array" ref="J45">IF(F45="",0,IFERROR(INDEX('Item Master'!$G:$G,MATCH(F45,'Item Master'!$A:$A,0)),0))</f>
        <v>0</v>
      </c>
      <c r="K45" s="8">
        <f t="shared" si="2"/>
        <v>0</v>
      </c>
      <c r="L45" s="19"/>
      <c r="M45" s="8" t="str">
        <f t="shared" si="3"/>
        <v/>
      </c>
      <c r="N45" s="8" t="str">
        <f t="shared" si="4"/>
        <v/>
      </c>
      <c r="O45" s="8" t="str">
        <f t="shared" si="5"/>
        <v/>
      </c>
      <c r="P45" s="8" t="str">
        <f t="shared" si="6"/>
        <v/>
      </c>
    </row>
    <row r="46" ht="15.75" customHeight="1">
      <c r="A46" s="19"/>
      <c r="B46" s="19"/>
      <c r="C46" s="19"/>
      <c r="D46" s="8" t="str">
        <f t="array" ref="D46">IF(C46="","",IFERROR(INDEX('Item Master'!$B:$B,MATCH(C46,'Item Master'!$A:$A,0)),""))</f>
        <v/>
      </c>
      <c r="E46" s="19"/>
      <c r="F46" s="19"/>
      <c r="G46" s="8" t="str">
        <f t="array" ref="G46">IF(F46="","",IFERROR(INDEX('Item Master'!$B:$B,MATCH(F46,'Item Master'!$A:$A,0)),""))</f>
        <v/>
      </c>
      <c r="H46" s="8">
        <f>IF(F46="",0,SUMIFS('BOM Master'!$F:$F,'BOM Master'!$A:$A,C46,'BOM Master'!$D:$D,F46))</f>
        <v>0</v>
      </c>
      <c r="I46" s="8">
        <f t="shared" si="1"/>
        <v>0</v>
      </c>
      <c r="J46" s="8">
        <f t="array" ref="J46">IF(F46="",0,IFERROR(INDEX('Item Master'!$G:$G,MATCH(F46,'Item Master'!$A:$A,0)),0))</f>
        <v>0</v>
      </c>
      <c r="K46" s="8">
        <f t="shared" si="2"/>
        <v>0</v>
      </c>
      <c r="L46" s="19"/>
      <c r="M46" s="8" t="str">
        <f t="shared" si="3"/>
        <v/>
      </c>
      <c r="N46" s="8" t="str">
        <f t="shared" si="4"/>
        <v/>
      </c>
      <c r="O46" s="8" t="str">
        <f t="shared" si="5"/>
        <v/>
      </c>
      <c r="P46" s="8" t="str">
        <f t="shared" si="6"/>
        <v/>
      </c>
    </row>
    <row r="47" ht="15.75" customHeight="1">
      <c r="A47" s="19"/>
      <c r="B47" s="19"/>
      <c r="C47" s="19"/>
      <c r="D47" s="8" t="str">
        <f t="array" ref="D47">IF(C47="","",IFERROR(INDEX('Item Master'!$B:$B,MATCH(C47,'Item Master'!$A:$A,0)),""))</f>
        <v/>
      </c>
      <c r="E47" s="19"/>
      <c r="F47" s="19"/>
      <c r="G47" s="8" t="str">
        <f t="array" ref="G47">IF(F47="","",IFERROR(INDEX('Item Master'!$B:$B,MATCH(F47,'Item Master'!$A:$A,0)),""))</f>
        <v/>
      </c>
      <c r="H47" s="8">
        <f>IF(F47="",0,SUMIFS('BOM Master'!$F:$F,'BOM Master'!$A:$A,C47,'BOM Master'!$D:$D,F47))</f>
        <v>0</v>
      </c>
      <c r="I47" s="8">
        <f t="shared" si="1"/>
        <v>0</v>
      </c>
      <c r="J47" s="8">
        <f t="array" ref="J47">IF(F47="",0,IFERROR(INDEX('Item Master'!$G:$G,MATCH(F47,'Item Master'!$A:$A,0)),0))</f>
        <v>0</v>
      </c>
      <c r="K47" s="8">
        <f t="shared" si="2"/>
        <v>0</v>
      </c>
      <c r="L47" s="19"/>
      <c r="M47" s="8" t="str">
        <f t="shared" si="3"/>
        <v/>
      </c>
      <c r="N47" s="8" t="str">
        <f t="shared" si="4"/>
        <v/>
      </c>
      <c r="O47" s="8" t="str">
        <f t="shared" si="5"/>
        <v/>
      </c>
      <c r="P47" s="8" t="str">
        <f t="shared" si="6"/>
        <v/>
      </c>
    </row>
    <row r="48" ht="15.75" customHeight="1">
      <c r="A48" s="19"/>
      <c r="B48" s="19"/>
      <c r="C48" s="19"/>
      <c r="D48" s="8" t="str">
        <f t="array" ref="D48">IF(C48="","",IFERROR(INDEX('Item Master'!$B:$B,MATCH(C48,'Item Master'!$A:$A,0)),""))</f>
        <v/>
      </c>
      <c r="E48" s="19"/>
      <c r="F48" s="19"/>
      <c r="G48" s="8" t="str">
        <f t="array" ref="G48">IF(F48="","",IFERROR(INDEX('Item Master'!$B:$B,MATCH(F48,'Item Master'!$A:$A,0)),""))</f>
        <v/>
      </c>
      <c r="H48" s="8">
        <f>IF(F48="",0,SUMIFS('BOM Master'!$F:$F,'BOM Master'!$A:$A,C48,'BOM Master'!$D:$D,F48))</f>
        <v>0</v>
      </c>
      <c r="I48" s="8">
        <f t="shared" si="1"/>
        <v>0</v>
      </c>
      <c r="J48" s="8">
        <f t="array" ref="J48">IF(F48="",0,IFERROR(INDEX('Item Master'!$G:$G,MATCH(F48,'Item Master'!$A:$A,0)),0))</f>
        <v>0</v>
      </c>
      <c r="K48" s="8">
        <f t="shared" si="2"/>
        <v>0</v>
      </c>
      <c r="L48" s="19"/>
      <c r="M48" s="8" t="str">
        <f t="shared" si="3"/>
        <v/>
      </c>
      <c r="N48" s="8" t="str">
        <f t="shared" si="4"/>
        <v/>
      </c>
      <c r="O48" s="8" t="str">
        <f t="shared" si="5"/>
        <v/>
      </c>
      <c r="P48" s="8" t="str">
        <f t="shared" si="6"/>
        <v/>
      </c>
    </row>
    <row r="49" ht="15.75" customHeight="1">
      <c r="A49" s="19"/>
      <c r="B49" s="19"/>
      <c r="C49" s="19"/>
      <c r="D49" s="8" t="str">
        <f t="array" ref="D49">IF(C49="","",IFERROR(INDEX('Item Master'!$B:$B,MATCH(C49,'Item Master'!$A:$A,0)),""))</f>
        <v/>
      </c>
      <c r="E49" s="19"/>
      <c r="F49" s="19"/>
      <c r="G49" s="8" t="str">
        <f t="array" ref="G49">IF(F49="","",IFERROR(INDEX('Item Master'!$B:$B,MATCH(F49,'Item Master'!$A:$A,0)),""))</f>
        <v/>
      </c>
      <c r="H49" s="8">
        <f>IF(F49="",0,SUMIFS('BOM Master'!$F:$F,'BOM Master'!$A:$A,C49,'BOM Master'!$D:$D,F49))</f>
        <v>0</v>
      </c>
      <c r="I49" s="8">
        <f t="shared" si="1"/>
        <v>0</v>
      </c>
      <c r="J49" s="8">
        <f t="array" ref="J49">IF(F49="",0,IFERROR(INDEX('Item Master'!$G:$G,MATCH(F49,'Item Master'!$A:$A,0)),0))</f>
        <v>0</v>
      </c>
      <c r="K49" s="8">
        <f t="shared" si="2"/>
        <v>0</v>
      </c>
      <c r="L49" s="19"/>
      <c r="M49" s="8" t="str">
        <f t="shared" si="3"/>
        <v/>
      </c>
      <c r="N49" s="8" t="str">
        <f t="shared" si="4"/>
        <v/>
      </c>
      <c r="O49" s="8" t="str">
        <f t="shared" si="5"/>
        <v/>
      </c>
      <c r="P49" s="8" t="str">
        <f t="shared" si="6"/>
        <v/>
      </c>
    </row>
    <row r="50" ht="15.75" customHeight="1">
      <c r="A50" s="19"/>
      <c r="B50" s="19"/>
      <c r="C50" s="19"/>
      <c r="D50" s="8" t="str">
        <f t="array" ref="D50">IF(C50="","",IFERROR(INDEX('Item Master'!$B:$B,MATCH(C50,'Item Master'!$A:$A,0)),""))</f>
        <v/>
      </c>
      <c r="E50" s="19"/>
      <c r="F50" s="19"/>
      <c r="G50" s="8" t="str">
        <f t="array" ref="G50">IF(F50="","",IFERROR(INDEX('Item Master'!$B:$B,MATCH(F50,'Item Master'!$A:$A,0)),""))</f>
        <v/>
      </c>
      <c r="H50" s="8">
        <f>IF(F50="",0,SUMIFS('BOM Master'!$F:$F,'BOM Master'!$A:$A,C50,'BOM Master'!$D:$D,F50))</f>
        <v>0</v>
      </c>
      <c r="I50" s="8">
        <f t="shared" si="1"/>
        <v>0</v>
      </c>
      <c r="J50" s="8">
        <f t="array" ref="J50">IF(F50="",0,IFERROR(INDEX('Item Master'!$G:$G,MATCH(F50,'Item Master'!$A:$A,0)),0))</f>
        <v>0</v>
      </c>
      <c r="K50" s="8">
        <f t="shared" si="2"/>
        <v>0</v>
      </c>
      <c r="L50" s="19"/>
      <c r="M50" s="8" t="str">
        <f t="shared" si="3"/>
        <v/>
      </c>
      <c r="N50" s="8" t="str">
        <f t="shared" si="4"/>
        <v/>
      </c>
      <c r="O50" s="8" t="str">
        <f t="shared" si="5"/>
        <v/>
      </c>
      <c r="P50" s="8" t="str">
        <f t="shared" si="6"/>
        <v/>
      </c>
    </row>
    <row r="51" ht="15.75" customHeight="1">
      <c r="A51" s="19"/>
      <c r="B51" s="19"/>
      <c r="C51" s="19"/>
      <c r="D51" s="8" t="str">
        <f t="array" ref="D51">IF(C51="","",IFERROR(INDEX('Item Master'!$B:$B,MATCH(C51,'Item Master'!$A:$A,0)),""))</f>
        <v/>
      </c>
      <c r="E51" s="19"/>
      <c r="F51" s="19"/>
      <c r="G51" s="8" t="str">
        <f t="array" ref="G51">IF(F51="","",IFERROR(INDEX('Item Master'!$B:$B,MATCH(F51,'Item Master'!$A:$A,0)),""))</f>
        <v/>
      </c>
      <c r="H51" s="8">
        <f>IF(F51="",0,SUMIFS('BOM Master'!$F:$F,'BOM Master'!$A:$A,C51,'BOM Master'!$D:$D,F51))</f>
        <v>0</v>
      </c>
      <c r="I51" s="8">
        <f t="shared" si="1"/>
        <v>0</v>
      </c>
      <c r="J51" s="8">
        <f t="array" ref="J51">IF(F51="",0,IFERROR(INDEX('Item Master'!$G:$G,MATCH(F51,'Item Master'!$A:$A,0)),0))</f>
        <v>0</v>
      </c>
      <c r="K51" s="8">
        <f t="shared" si="2"/>
        <v>0</v>
      </c>
      <c r="L51" s="19"/>
      <c r="M51" s="8" t="str">
        <f t="shared" si="3"/>
        <v/>
      </c>
      <c r="N51" s="8" t="str">
        <f t="shared" si="4"/>
        <v/>
      </c>
      <c r="O51" s="8" t="str">
        <f t="shared" si="5"/>
        <v/>
      </c>
      <c r="P51" s="8" t="str">
        <f t="shared" si="6"/>
        <v/>
      </c>
    </row>
    <row r="52" ht="15.75" customHeight="1">
      <c r="A52" s="19"/>
      <c r="B52" s="19"/>
      <c r="C52" s="19"/>
      <c r="D52" s="8" t="str">
        <f t="array" ref="D52">IF(C52="","",IFERROR(INDEX('Item Master'!$B:$B,MATCH(C52,'Item Master'!$A:$A,0)),""))</f>
        <v/>
      </c>
      <c r="E52" s="19"/>
      <c r="F52" s="19"/>
      <c r="G52" s="8" t="str">
        <f t="array" ref="G52">IF(F52="","",IFERROR(INDEX('Item Master'!$B:$B,MATCH(F52,'Item Master'!$A:$A,0)),""))</f>
        <v/>
      </c>
      <c r="H52" s="8">
        <f>IF(F52="",0,SUMIFS('BOM Master'!$F:$F,'BOM Master'!$A:$A,C52,'BOM Master'!$D:$D,F52))</f>
        <v>0</v>
      </c>
      <c r="I52" s="8">
        <f t="shared" si="1"/>
        <v>0</v>
      </c>
      <c r="J52" s="8">
        <f t="array" ref="J52">IF(F52="",0,IFERROR(INDEX('Item Master'!$G:$G,MATCH(F52,'Item Master'!$A:$A,0)),0))</f>
        <v>0</v>
      </c>
      <c r="K52" s="8">
        <f t="shared" si="2"/>
        <v>0</v>
      </c>
      <c r="L52" s="19"/>
      <c r="M52" s="8" t="str">
        <f t="shared" si="3"/>
        <v/>
      </c>
      <c r="N52" s="8" t="str">
        <f t="shared" si="4"/>
        <v/>
      </c>
      <c r="O52" s="8" t="str">
        <f t="shared" si="5"/>
        <v/>
      </c>
      <c r="P52" s="8" t="str">
        <f t="shared" si="6"/>
        <v/>
      </c>
    </row>
    <row r="53" ht="15.75" customHeight="1">
      <c r="A53" s="19"/>
      <c r="B53" s="19"/>
      <c r="C53" s="19"/>
      <c r="D53" s="8" t="str">
        <f t="array" ref="D53">IF(C53="","",IFERROR(INDEX('Item Master'!$B:$B,MATCH(C53,'Item Master'!$A:$A,0)),""))</f>
        <v/>
      </c>
      <c r="E53" s="19"/>
      <c r="F53" s="19"/>
      <c r="G53" s="8" t="str">
        <f t="array" ref="G53">IF(F53="","",IFERROR(INDEX('Item Master'!$B:$B,MATCH(F53,'Item Master'!$A:$A,0)),""))</f>
        <v/>
      </c>
      <c r="H53" s="8">
        <f>IF(F53="",0,SUMIFS('BOM Master'!$F:$F,'BOM Master'!$A:$A,C53,'BOM Master'!$D:$D,F53))</f>
        <v>0</v>
      </c>
      <c r="I53" s="8">
        <f t="shared" si="1"/>
        <v>0</v>
      </c>
      <c r="J53" s="8">
        <f t="array" ref="J53">IF(F53="",0,IFERROR(INDEX('Item Master'!$G:$G,MATCH(F53,'Item Master'!$A:$A,0)),0))</f>
        <v>0</v>
      </c>
      <c r="K53" s="8">
        <f t="shared" si="2"/>
        <v>0</v>
      </c>
      <c r="L53" s="19"/>
      <c r="M53" s="8" t="str">
        <f t="shared" si="3"/>
        <v/>
      </c>
      <c r="N53" s="8" t="str">
        <f t="shared" si="4"/>
        <v/>
      </c>
      <c r="O53" s="8" t="str">
        <f t="shared" si="5"/>
        <v/>
      </c>
      <c r="P53" s="8" t="str">
        <f t="shared" si="6"/>
        <v/>
      </c>
    </row>
    <row r="54" ht="15.75" customHeight="1">
      <c r="A54" s="19"/>
      <c r="B54" s="19"/>
      <c r="C54" s="19"/>
      <c r="D54" s="8" t="str">
        <f t="array" ref="D54">IF(C54="","",IFERROR(INDEX('Item Master'!$B:$B,MATCH(C54,'Item Master'!$A:$A,0)),""))</f>
        <v/>
      </c>
      <c r="E54" s="19"/>
      <c r="F54" s="19"/>
      <c r="G54" s="8" t="str">
        <f t="array" ref="G54">IF(F54="","",IFERROR(INDEX('Item Master'!$B:$B,MATCH(F54,'Item Master'!$A:$A,0)),""))</f>
        <v/>
      </c>
      <c r="H54" s="8">
        <f>IF(F54="",0,SUMIFS('BOM Master'!$F:$F,'BOM Master'!$A:$A,C54,'BOM Master'!$D:$D,F54))</f>
        <v>0</v>
      </c>
      <c r="I54" s="8">
        <f t="shared" si="1"/>
        <v>0</v>
      </c>
      <c r="J54" s="8">
        <f t="array" ref="J54">IF(F54="",0,IFERROR(INDEX('Item Master'!$G:$G,MATCH(F54,'Item Master'!$A:$A,0)),0))</f>
        <v>0</v>
      </c>
      <c r="K54" s="8">
        <f t="shared" si="2"/>
        <v>0</v>
      </c>
      <c r="L54" s="19"/>
      <c r="M54" s="8" t="str">
        <f t="shared" si="3"/>
        <v/>
      </c>
      <c r="N54" s="8" t="str">
        <f t="shared" si="4"/>
        <v/>
      </c>
      <c r="O54" s="8" t="str">
        <f t="shared" si="5"/>
        <v/>
      </c>
      <c r="P54" s="8" t="str">
        <f t="shared" si="6"/>
        <v/>
      </c>
    </row>
    <row r="55" ht="15.75" customHeight="1">
      <c r="A55" s="19"/>
      <c r="B55" s="19"/>
      <c r="C55" s="19"/>
      <c r="D55" s="8" t="str">
        <f t="array" ref="D55">IF(C55="","",IFERROR(INDEX('Item Master'!$B:$B,MATCH(C55,'Item Master'!$A:$A,0)),""))</f>
        <v/>
      </c>
      <c r="E55" s="19"/>
      <c r="F55" s="19"/>
      <c r="G55" s="8" t="str">
        <f t="array" ref="G55">IF(F55="","",IFERROR(INDEX('Item Master'!$B:$B,MATCH(F55,'Item Master'!$A:$A,0)),""))</f>
        <v/>
      </c>
      <c r="H55" s="8">
        <f>IF(F55="",0,SUMIFS('BOM Master'!$F:$F,'BOM Master'!$A:$A,C55,'BOM Master'!$D:$D,F55))</f>
        <v>0</v>
      </c>
      <c r="I55" s="8">
        <f t="shared" si="1"/>
        <v>0</v>
      </c>
      <c r="J55" s="8">
        <f t="array" ref="J55">IF(F55="",0,IFERROR(INDEX('Item Master'!$G:$G,MATCH(F55,'Item Master'!$A:$A,0)),0))</f>
        <v>0</v>
      </c>
      <c r="K55" s="8">
        <f t="shared" si="2"/>
        <v>0</v>
      </c>
      <c r="L55" s="19"/>
      <c r="M55" s="8" t="str">
        <f t="shared" si="3"/>
        <v/>
      </c>
      <c r="N55" s="8" t="str">
        <f t="shared" si="4"/>
        <v/>
      </c>
      <c r="O55" s="8" t="str">
        <f t="shared" si="5"/>
        <v/>
      </c>
      <c r="P55" s="8" t="str">
        <f t="shared" si="6"/>
        <v/>
      </c>
    </row>
    <row r="56" ht="15.75" customHeight="1">
      <c r="A56" s="19"/>
      <c r="B56" s="19"/>
      <c r="C56" s="19"/>
      <c r="D56" s="8" t="str">
        <f t="array" ref="D56">IF(C56="","",IFERROR(INDEX('Item Master'!$B:$B,MATCH(C56,'Item Master'!$A:$A,0)),""))</f>
        <v/>
      </c>
      <c r="E56" s="19"/>
      <c r="F56" s="19"/>
      <c r="G56" s="8" t="str">
        <f t="array" ref="G56">IF(F56="","",IFERROR(INDEX('Item Master'!$B:$B,MATCH(F56,'Item Master'!$A:$A,0)),""))</f>
        <v/>
      </c>
      <c r="H56" s="8">
        <f>IF(F56="",0,SUMIFS('BOM Master'!$F:$F,'BOM Master'!$A:$A,C56,'BOM Master'!$D:$D,F56))</f>
        <v>0</v>
      </c>
      <c r="I56" s="8">
        <f t="shared" si="1"/>
        <v>0</v>
      </c>
      <c r="J56" s="8">
        <f t="array" ref="J56">IF(F56="",0,IFERROR(INDEX('Item Master'!$G:$G,MATCH(F56,'Item Master'!$A:$A,0)),0))</f>
        <v>0</v>
      </c>
      <c r="K56" s="8">
        <f t="shared" si="2"/>
        <v>0</v>
      </c>
      <c r="L56" s="19"/>
      <c r="M56" s="8" t="str">
        <f t="shared" si="3"/>
        <v/>
      </c>
      <c r="N56" s="8" t="str">
        <f t="shared" si="4"/>
        <v/>
      </c>
      <c r="O56" s="8" t="str">
        <f t="shared" si="5"/>
        <v/>
      </c>
      <c r="P56" s="8" t="str">
        <f t="shared" si="6"/>
        <v/>
      </c>
    </row>
    <row r="57" ht="15.75" customHeight="1">
      <c r="A57" s="19"/>
      <c r="B57" s="19"/>
      <c r="C57" s="19"/>
      <c r="D57" s="8" t="str">
        <f t="array" ref="D57">IF(C57="","",IFERROR(INDEX('Item Master'!$B:$B,MATCH(C57,'Item Master'!$A:$A,0)),""))</f>
        <v/>
      </c>
      <c r="E57" s="19"/>
      <c r="F57" s="19"/>
      <c r="G57" s="8" t="str">
        <f t="array" ref="G57">IF(F57="","",IFERROR(INDEX('Item Master'!$B:$B,MATCH(F57,'Item Master'!$A:$A,0)),""))</f>
        <v/>
      </c>
      <c r="H57" s="8">
        <f>IF(F57="",0,SUMIFS('BOM Master'!$F:$F,'BOM Master'!$A:$A,C57,'BOM Master'!$D:$D,F57))</f>
        <v>0</v>
      </c>
      <c r="I57" s="8">
        <f t="shared" si="1"/>
        <v>0</v>
      </c>
      <c r="J57" s="8">
        <f t="array" ref="J57">IF(F57="",0,IFERROR(INDEX('Item Master'!$G:$G,MATCH(F57,'Item Master'!$A:$A,0)),0))</f>
        <v>0</v>
      </c>
      <c r="K57" s="8">
        <f t="shared" si="2"/>
        <v>0</v>
      </c>
      <c r="L57" s="19"/>
      <c r="M57" s="8" t="str">
        <f t="shared" si="3"/>
        <v/>
      </c>
      <c r="N57" s="8" t="str">
        <f t="shared" si="4"/>
        <v/>
      </c>
      <c r="O57" s="8" t="str">
        <f t="shared" si="5"/>
        <v/>
      </c>
      <c r="P57" s="8" t="str">
        <f t="shared" si="6"/>
        <v/>
      </c>
    </row>
    <row r="58" ht="15.75" customHeight="1">
      <c r="A58" s="19"/>
      <c r="B58" s="19"/>
      <c r="C58" s="19"/>
      <c r="D58" s="8" t="str">
        <f t="array" ref="D58">IF(C58="","",IFERROR(INDEX('Item Master'!$B:$B,MATCH(C58,'Item Master'!$A:$A,0)),""))</f>
        <v/>
      </c>
      <c r="E58" s="19"/>
      <c r="F58" s="19"/>
      <c r="G58" s="8" t="str">
        <f t="array" ref="G58">IF(F58="","",IFERROR(INDEX('Item Master'!$B:$B,MATCH(F58,'Item Master'!$A:$A,0)),""))</f>
        <v/>
      </c>
      <c r="H58" s="8">
        <f>IF(F58="",0,SUMIFS('BOM Master'!$F:$F,'BOM Master'!$A:$A,C58,'BOM Master'!$D:$D,F58))</f>
        <v>0</v>
      </c>
      <c r="I58" s="8">
        <f t="shared" si="1"/>
        <v>0</v>
      </c>
      <c r="J58" s="8">
        <f t="array" ref="J58">IF(F58="",0,IFERROR(INDEX('Item Master'!$G:$G,MATCH(F58,'Item Master'!$A:$A,0)),0))</f>
        <v>0</v>
      </c>
      <c r="K58" s="8">
        <f t="shared" si="2"/>
        <v>0</v>
      </c>
      <c r="L58" s="19"/>
      <c r="M58" s="8" t="str">
        <f t="shared" si="3"/>
        <v/>
      </c>
      <c r="N58" s="8" t="str">
        <f t="shared" si="4"/>
        <v/>
      </c>
      <c r="O58" s="8" t="str">
        <f t="shared" si="5"/>
        <v/>
      </c>
      <c r="P58" s="8" t="str">
        <f t="shared" si="6"/>
        <v/>
      </c>
    </row>
    <row r="59" ht="15.75" customHeight="1">
      <c r="A59" s="19"/>
      <c r="B59" s="19"/>
      <c r="C59" s="19"/>
      <c r="D59" s="8" t="str">
        <f t="array" ref="D59">IF(C59="","",IFERROR(INDEX('Item Master'!$B:$B,MATCH(C59,'Item Master'!$A:$A,0)),""))</f>
        <v/>
      </c>
      <c r="E59" s="19"/>
      <c r="F59" s="19"/>
      <c r="G59" s="8" t="str">
        <f t="array" ref="G59">IF(F59="","",IFERROR(INDEX('Item Master'!$B:$B,MATCH(F59,'Item Master'!$A:$A,0)),""))</f>
        <v/>
      </c>
      <c r="H59" s="8">
        <f>IF(F59="",0,SUMIFS('BOM Master'!$F:$F,'BOM Master'!$A:$A,C59,'BOM Master'!$D:$D,F59))</f>
        <v>0</v>
      </c>
      <c r="I59" s="8">
        <f t="shared" si="1"/>
        <v>0</v>
      </c>
      <c r="J59" s="8">
        <f t="array" ref="J59">IF(F59="",0,IFERROR(INDEX('Item Master'!$G:$G,MATCH(F59,'Item Master'!$A:$A,0)),0))</f>
        <v>0</v>
      </c>
      <c r="K59" s="8">
        <f t="shared" si="2"/>
        <v>0</v>
      </c>
      <c r="L59" s="19"/>
      <c r="M59" s="8" t="str">
        <f t="shared" si="3"/>
        <v/>
      </c>
      <c r="N59" s="8" t="str">
        <f t="shared" si="4"/>
        <v/>
      </c>
      <c r="O59" s="8" t="str">
        <f t="shared" si="5"/>
        <v/>
      </c>
      <c r="P59" s="8" t="str">
        <f t="shared" si="6"/>
        <v/>
      </c>
    </row>
    <row r="60" ht="15.75" customHeight="1">
      <c r="A60" s="19"/>
      <c r="B60" s="19"/>
      <c r="C60" s="19"/>
      <c r="D60" s="8" t="str">
        <f t="array" ref="D60">IF(C60="","",IFERROR(INDEX('Item Master'!$B:$B,MATCH(C60,'Item Master'!$A:$A,0)),""))</f>
        <v/>
      </c>
      <c r="E60" s="19"/>
      <c r="F60" s="19"/>
      <c r="G60" s="8" t="str">
        <f t="array" ref="G60">IF(F60="","",IFERROR(INDEX('Item Master'!$B:$B,MATCH(F60,'Item Master'!$A:$A,0)),""))</f>
        <v/>
      </c>
      <c r="H60" s="8">
        <f>IF(F60="",0,SUMIFS('BOM Master'!$F:$F,'BOM Master'!$A:$A,C60,'BOM Master'!$D:$D,F60))</f>
        <v>0</v>
      </c>
      <c r="I60" s="8">
        <f t="shared" si="1"/>
        <v>0</v>
      </c>
      <c r="J60" s="8">
        <f t="array" ref="J60">IF(F60="",0,IFERROR(INDEX('Item Master'!$G:$G,MATCH(F60,'Item Master'!$A:$A,0)),0))</f>
        <v>0</v>
      </c>
      <c r="K60" s="8">
        <f t="shared" si="2"/>
        <v>0</v>
      </c>
      <c r="L60" s="19"/>
      <c r="M60" s="8" t="str">
        <f t="shared" si="3"/>
        <v/>
      </c>
      <c r="N60" s="8" t="str">
        <f t="shared" si="4"/>
        <v/>
      </c>
      <c r="O60" s="8" t="str">
        <f t="shared" si="5"/>
        <v/>
      </c>
      <c r="P60" s="8" t="str">
        <f t="shared" si="6"/>
        <v/>
      </c>
    </row>
    <row r="61" ht="15.75" customHeight="1">
      <c r="A61" s="19"/>
      <c r="B61" s="19"/>
      <c r="C61" s="19"/>
      <c r="D61" s="8" t="str">
        <f t="array" ref="D61">IF(C61="","",IFERROR(INDEX('Item Master'!$B:$B,MATCH(C61,'Item Master'!$A:$A,0)),""))</f>
        <v/>
      </c>
      <c r="E61" s="19"/>
      <c r="F61" s="19"/>
      <c r="G61" s="8" t="str">
        <f t="array" ref="G61">IF(F61="","",IFERROR(INDEX('Item Master'!$B:$B,MATCH(F61,'Item Master'!$A:$A,0)),""))</f>
        <v/>
      </c>
      <c r="H61" s="8">
        <f>IF(F61="",0,SUMIFS('BOM Master'!$F:$F,'BOM Master'!$A:$A,C61,'BOM Master'!$D:$D,F61))</f>
        <v>0</v>
      </c>
      <c r="I61" s="8">
        <f t="shared" si="1"/>
        <v>0</v>
      </c>
      <c r="J61" s="8">
        <f t="array" ref="J61">IF(F61="",0,IFERROR(INDEX('Item Master'!$G:$G,MATCH(F61,'Item Master'!$A:$A,0)),0))</f>
        <v>0</v>
      </c>
      <c r="K61" s="8">
        <f t="shared" si="2"/>
        <v>0</v>
      </c>
      <c r="L61" s="19"/>
      <c r="M61" s="8" t="str">
        <f t="shared" si="3"/>
        <v/>
      </c>
      <c r="N61" s="8" t="str">
        <f t="shared" si="4"/>
        <v/>
      </c>
      <c r="O61" s="8" t="str">
        <f t="shared" si="5"/>
        <v/>
      </c>
      <c r="P61" s="8" t="str">
        <f t="shared" si="6"/>
        <v/>
      </c>
    </row>
    <row r="62" ht="15.75" customHeight="1">
      <c r="A62" s="19"/>
      <c r="B62" s="19"/>
      <c r="C62" s="19"/>
      <c r="D62" s="8" t="str">
        <f t="array" ref="D62">IF(C62="","",IFERROR(INDEX('Item Master'!$B:$B,MATCH(C62,'Item Master'!$A:$A,0)),""))</f>
        <v/>
      </c>
      <c r="E62" s="19"/>
      <c r="F62" s="19"/>
      <c r="G62" s="8" t="str">
        <f t="array" ref="G62">IF(F62="","",IFERROR(INDEX('Item Master'!$B:$B,MATCH(F62,'Item Master'!$A:$A,0)),""))</f>
        <v/>
      </c>
      <c r="H62" s="8">
        <f>IF(F62="",0,SUMIFS('BOM Master'!$F:$F,'BOM Master'!$A:$A,C62,'BOM Master'!$D:$D,F62))</f>
        <v>0</v>
      </c>
      <c r="I62" s="8">
        <f t="shared" si="1"/>
        <v>0</v>
      </c>
      <c r="J62" s="8">
        <f t="array" ref="J62">IF(F62="",0,IFERROR(INDEX('Item Master'!$G:$G,MATCH(F62,'Item Master'!$A:$A,0)),0))</f>
        <v>0</v>
      </c>
      <c r="K62" s="8">
        <f t="shared" si="2"/>
        <v>0</v>
      </c>
      <c r="L62" s="19"/>
      <c r="M62" s="8" t="str">
        <f t="shared" si="3"/>
        <v/>
      </c>
      <c r="N62" s="8" t="str">
        <f t="shared" si="4"/>
        <v/>
      </c>
      <c r="O62" s="8" t="str">
        <f t="shared" si="5"/>
        <v/>
      </c>
      <c r="P62" s="8" t="str">
        <f t="shared" si="6"/>
        <v/>
      </c>
    </row>
    <row r="63" ht="15.75" customHeight="1">
      <c r="A63" s="19"/>
      <c r="B63" s="19"/>
      <c r="C63" s="19"/>
      <c r="D63" s="8" t="str">
        <f t="array" ref="D63">IF(C63="","",IFERROR(INDEX('Item Master'!$B:$B,MATCH(C63,'Item Master'!$A:$A,0)),""))</f>
        <v/>
      </c>
      <c r="E63" s="19"/>
      <c r="F63" s="19"/>
      <c r="G63" s="8" t="str">
        <f t="array" ref="G63">IF(F63="","",IFERROR(INDEX('Item Master'!$B:$B,MATCH(F63,'Item Master'!$A:$A,0)),""))</f>
        <v/>
      </c>
      <c r="H63" s="8">
        <f>IF(F63="",0,SUMIFS('BOM Master'!$F:$F,'BOM Master'!$A:$A,C63,'BOM Master'!$D:$D,F63))</f>
        <v>0</v>
      </c>
      <c r="I63" s="8">
        <f t="shared" si="1"/>
        <v>0</v>
      </c>
      <c r="J63" s="8">
        <f t="array" ref="J63">IF(F63="",0,IFERROR(INDEX('Item Master'!$G:$G,MATCH(F63,'Item Master'!$A:$A,0)),0))</f>
        <v>0</v>
      </c>
      <c r="K63" s="8">
        <f t="shared" si="2"/>
        <v>0</v>
      </c>
      <c r="L63" s="19"/>
      <c r="M63" s="8" t="str">
        <f t="shared" si="3"/>
        <v/>
      </c>
      <c r="N63" s="8" t="str">
        <f t="shared" si="4"/>
        <v/>
      </c>
      <c r="O63" s="8" t="str">
        <f t="shared" si="5"/>
        <v/>
      </c>
      <c r="P63" s="8" t="str">
        <f t="shared" si="6"/>
        <v/>
      </c>
    </row>
    <row r="64" ht="15.75" customHeight="1">
      <c r="A64" s="19"/>
      <c r="B64" s="19"/>
      <c r="C64" s="19"/>
      <c r="D64" s="8" t="str">
        <f t="array" ref="D64">IF(C64="","",IFERROR(INDEX('Item Master'!$B:$B,MATCH(C64,'Item Master'!$A:$A,0)),""))</f>
        <v/>
      </c>
      <c r="E64" s="19"/>
      <c r="F64" s="19"/>
      <c r="G64" s="8" t="str">
        <f t="array" ref="G64">IF(F64="","",IFERROR(INDEX('Item Master'!$B:$B,MATCH(F64,'Item Master'!$A:$A,0)),""))</f>
        <v/>
      </c>
      <c r="H64" s="8">
        <f>IF(F64="",0,SUMIFS('BOM Master'!$F:$F,'BOM Master'!$A:$A,C64,'BOM Master'!$D:$D,F64))</f>
        <v>0</v>
      </c>
      <c r="I64" s="8">
        <f t="shared" si="1"/>
        <v>0</v>
      </c>
      <c r="J64" s="8">
        <f t="array" ref="J64">IF(F64="",0,IFERROR(INDEX('Item Master'!$G:$G,MATCH(F64,'Item Master'!$A:$A,0)),0))</f>
        <v>0</v>
      </c>
      <c r="K64" s="8">
        <f t="shared" si="2"/>
        <v>0</v>
      </c>
      <c r="L64" s="19"/>
      <c r="M64" s="8" t="str">
        <f t="shared" si="3"/>
        <v/>
      </c>
      <c r="N64" s="8" t="str">
        <f t="shared" si="4"/>
        <v/>
      </c>
      <c r="O64" s="8" t="str">
        <f t="shared" si="5"/>
        <v/>
      </c>
      <c r="P64" s="8" t="str">
        <f t="shared" si="6"/>
        <v/>
      </c>
    </row>
    <row r="65" ht="15.75" customHeight="1">
      <c r="A65" s="19"/>
      <c r="B65" s="19"/>
      <c r="C65" s="19"/>
      <c r="D65" s="8" t="str">
        <f t="array" ref="D65">IF(C65="","",IFERROR(INDEX('Item Master'!$B:$B,MATCH(C65,'Item Master'!$A:$A,0)),""))</f>
        <v/>
      </c>
      <c r="E65" s="19"/>
      <c r="F65" s="19"/>
      <c r="G65" s="8" t="str">
        <f t="array" ref="G65">IF(F65="","",IFERROR(INDEX('Item Master'!$B:$B,MATCH(F65,'Item Master'!$A:$A,0)),""))</f>
        <v/>
      </c>
      <c r="H65" s="8">
        <f>IF(F65="",0,SUMIFS('BOM Master'!$F:$F,'BOM Master'!$A:$A,C65,'BOM Master'!$D:$D,F65))</f>
        <v>0</v>
      </c>
      <c r="I65" s="8">
        <f t="shared" si="1"/>
        <v>0</v>
      </c>
      <c r="J65" s="8">
        <f t="array" ref="J65">IF(F65="",0,IFERROR(INDEX('Item Master'!$G:$G,MATCH(F65,'Item Master'!$A:$A,0)),0))</f>
        <v>0</v>
      </c>
      <c r="K65" s="8">
        <f t="shared" si="2"/>
        <v>0</v>
      </c>
      <c r="L65" s="19"/>
      <c r="M65" s="8" t="str">
        <f t="shared" si="3"/>
        <v/>
      </c>
      <c r="N65" s="8" t="str">
        <f t="shared" si="4"/>
        <v/>
      </c>
      <c r="O65" s="8" t="str">
        <f t="shared" si="5"/>
        <v/>
      </c>
      <c r="P65" s="8" t="str">
        <f t="shared" si="6"/>
        <v/>
      </c>
    </row>
    <row r="66" ht="15.75" customHeight="1">
      <c r="A66" s="19"/>
      <c r="B66" s="19"/>
      <c r="C66" s="19"/>
      <c r="D66" s="8" t="str">
        <f t="array" ref="D66">IF(C66="","",IFERROR(INDEX('Item Master'!$B:$B,MATCH(C66,'Item Master'!$A:$A,0)),""))</f>
        <v/>
      </c>
      <c r="E66" s="19"/>
      <c r="F66" s="19"/>
      <c r="G66" s="8" t="str">
        <f t="array" ref="G66">IF(F66="","",IFERROR(INDEX('Item Master'!$B:$B,MATCH(F66,'Item Master'!$A:$A,0)),""))</f>
        <v/>
      </c>
      <c r="H66" s="8">
        <f>IF(F66="",0,SUMIFS('BOM Master'!$F:$F,'BOM Master'!$A:$A,C66,'BOM Master'!$D:$D,F66))</f>
        <v>0</v>
      </c>
      <c r="I66" s="8">
        <f t="shared" si="1"/>
        <v>0</v>
      </c>
      <c r="J66" s="8">
        <f t="array" ref="J66">IF(F66="",0,IFERROR(INDEX('Item Master'!$G:$G,MATCH(F66,'Item Master'!$A:$A,0)),0))</f>
        <v>0</v>
      </c>
      <c r="K66" s="8">
        <f t="shared" si="2"/>
        <v>0</v>
      </c>
      <c r="L66" s="19"/>
      <c r="M66" s="8" t="str">
        <f t="shared" si="3"/>
        <v/>
      </c>
      <c r="N66" s="8" t="str">
        <f t="shared" si="4"/>
        <v/>
      </c>
      <c r="O66" s="8" t="str">
        <f t="shared" si="5"/>
        <v/>
      </c>
      <c r="P66" s="8" t="str">
        <f t="shared" si="6"/>
        <v/>
      </c>
    </row>
    <row r="67" ht="15.75" customHeight="1">
      <c r="A67" s="19"/>
      <c r="B67" s="19"/>
      <c r="C67" s="19"/>
      <c r="D67" s="8" t="str">
        <f t="array" ref="D67">IF(C67="","",IFERROR(INDEX('Item Master'!$B:$B,MATCH(C67,'Item Master'!$A:$A,0)),""))</f>
        <v/>
      </c>
      <c r="E67" s="19"/>
      <c r="F67" s="19"/>
      <c r="G67" s="8" t="str">
        <f t="array" ref="G67">IF(F67="","",IFERROR(INDEX('Item Master'!$B:$B,MATCH(F67,'Item Master'!$A:$A,0)),""))</f>
        <v/>
      </c>
      <c r="H67" s="8">
        <f>IF(F67="",0,SUMIFS('BOM Master'!$F:$F,'BOM Master'!$A:$A,C67,'BOM Master'!$D:$D,F67))</f>
        <v>0</v>
      </c>
      <c r="I67" s="8">
        <f t="shared" si="1"/>
        <v>0</v>
      </c>
      <c r="J67" s="8">
        <f t="array" ref="J67">IF(F67="",0,IFERROR(INDEX('Item Master'!$G:$G,MATCH(F67,'Item Master'!$A:$A,0)),0))</f>
        <v>0</v>
      </c>
      <c r="K67" s="8">
        <f t="shared" si="2"/>
        <v>0</v>
      </c>
      <c r="L67" s="19"/>
      <c r="M67" s="8" t="str">
        <f t="shared" si="3"/>
        <v/>
      </c>
      <c r="N67" s="8" t="str">
        <f t="shared" si="4"/>
        <v/>
      </c>
      <c r="O67" s="8" t="str">
        <f t="shared" si="5"/>
        <v/>
      </c>
      <c r="P67" s="8" t="str">
        <f t="shared" si="6"/>
        <v/>
      </c>
    </row>
    <row r="68" ht="15.75" customHeight="1">
      <c r="A68" s="19"/>
      <c r="B68" s="19"/>
      <c r="C68" s="19"/>
      <c r="D68" s="8" t="str">
        <f t="array" ref="D68">IF(C68="","",IFERROR(INDEX('Item Master'!$B:$B,MATCH(C68,'Item Master'!$A:$A,0)),""))</f>
        <v/>
      </c>
      <c r="E68" s="19"/>
      <c r="F68" s="19"/>
      <c r="G68" s="8" t="str">
        <f t="array" ref="G68">IF(F68="","",IFERROR(INDEX('Item Master'!$B:$B,MATCH(F68,'Item Master'!$A:$A,0)),""))</f>
        <v/>
      </c>
      <c r="H68" s="8">
        <f>IF(F68="",0,SUMIFS('BOM Master'!$F:$F,'BOM Master'!$A:$A,C68,'BOM Master'!$D:$D,F68))</f>
        <v>0</v>
      </c>
      <c r="I68" s="8">
        <f t="shared" si="1"/>
        <v>0</v>
      </c>
      <c r="J68" s="8">
        <f t="array" ref="J68">IF(F68="",0,IFERROR(INDEX('Item Master'!$G:$G,MATCH(F68,'Item Master'!$A:$A,0)),0))</f>
        <v>0</v>
      </c>
      <c r="K68" s="8">
        <f t="shared" si="2"/>
        <v>0</v>
      </c>
      <c r="L68" s="19"/>
      <c r="M68" s="8" t="str">
        <f t="shared" si="3"/>
        <v/>
      </c>
      <c r="N68" s="8" t="str">
        <f t="shared" si="4"/>
        <v/>
      </c>
      <c r="O68" s="8" t="str">
        <f t="shared" si="5"/>
        <v/>
      </c>
      <c r="P68" s="8" t="str">
        <f t="shared" si="6"/>
        <v/>
      </c>
    </row>
    <row r="69" ht="15.75" customHeight="1">
      <c r="A69" s="19"/>
      <c r="B69" s="19"/>
      <c r="C69" s="19"/>
      <c r="D69" s="8" t="str">
        <f t="array" ref="D69">IF(C69="","",IFERROR(INDEX('Item Master'!$B:$B,MATCH(C69,'Item Master'!$A:$A,0)),""))</f>
        <v/>
      </c>
      <c r="E69" s="19"/>
      <c r="F69" s="19"/>
      <c r="G69" s="8" t="str">
        <f t="array" ref="G69">IF(F69="","",IFERROR(INDEX('Item Master'!$B:$B,MATCH(F69,'Item Master'!$A:$A,0)),""))</f>
        <v/>
      </c>
      <c r="H69" s="8">
        <f>IF(F69="",0,SUMIFS('BOM Master'!$F:$F,'BOM Master'!$A:$A,C69,'BOM Master'!$D:$D,F69))</f>
        <v>0</v>
      </c>
      <c r="I69" s="8">
        <f t="shared" si="1"/>
        <v>0</v>
      </c>
      <c r="J69" s="8">
        <f t="array" ref="J69">IF(F69="",0,IFERROR(INDEX('Item Master'!$G:$G,MATCH(F69,'Item Master'!$A:$A,0)),0))</f>
        <v>0</v>
      </c>
      <c r="K69" s="8">
        <f t="shared" si="2"/>
        <v>0</v>
      </c>
      <c r="L69" s="19"/>
      <c r="M69" s="8" t="str">
        <f t="shared" si="3"/>
        <v/>
      </c>
      <c r="N69" s="8" t="str">
        <f t="shared" si="4"/>
        <v/>
      </c>
      <c r="O69" s="8" t="str">
        <f t="shared" si="5"/>
        <v/>
      </c>
      <c r="P69" s="8" t="str">
        <f t="shared" si="6"/>
        <v/>
      </c>
    </row>
    <row r="70" ht="15.75" customHeight="1">
      <c r="A70" s="19"/>
      <c r="B70" s="19"/>
      <c r="C70" s="19"/>
      <c r="D70" s="8" t="str">
        <f t="array" ref="D70">IF(C70="","",IFERROR(INDEX('Item Master'!$B:$B,MATCH(C70,'Item Master'!$A:$A,0)),""))</f>
        <v/>
      </c>
      <c r="E70" s="19"/>
      <c r="F70" s="19"/>
      <c r="G70" s="8" t="str">
        <f t="array" ref="G70">IF(F70="","",IFERROR(INDEX('Item Master'!$B:$B,MATCH(F70,'Item Master'!$A:$A,0)),""))</f>
        <v/>
      </c>
      <c r="H70" s="8">
        <f>IF(F70="",0,SUMIFS('BOM Master'!$F:$F,'BOM Master'!$A:$A,C70,'BOM Master'!$D:$D,F70))</f>
        <v>0</v>
      </c>
      <c r="I70" s="8">
        <f t="shared" si="1"/>
        <v>0</v>
      </c>
      <c r="J70" s="8">
        <f t="array" ref="J70">IF(F70="",0,IFERROR(INDEX('Item Master'!$G:$G,MATCH(F70,'Item Master'!$A:$A,0)),0))</f>
        <v>0</v>
      </c>
      <c r="K70" s="8">
        <f t="shared" si="2"/>
        <v>0</v>
      </c>
      <c r="L70" s="19"/>
      <c r="M70" s="8" t="str">
        <f t="shared" si="3"/>
        <v/>
      </c>
      <c r="N70" s="8" t="str">
        <f t="shared" si="4"/>
        <v/>
      </c>
      <c r="O70" s="8" t="str">
        <f t="shared" si="5"/>
        <v/>
      </c>
      <c r="P70" s="8" t="str">
        <f t="shared" si="6"/>
        <v/>
      </c>
    </row>
    <row r="71" ht="15.75" customHeight="1">
      <c r="A71" s="19"/>
      <c r="B71" s="19"/>
      <c r="C71" s="19"/>
      <c r="D71" s="8" t="str">
        <f t="array" ref="D71">IF(C71="","",IFERROR(INDEX('Item Master'!$B:$B,MATCH(C71,'Item Master'!$A:$A,0)),""))</f>
        <v/>
      </c>
      <c r="E71" s="19"/>
      <c r="F71" s="19"/>
      <c r="G71" s="8" t="str">
        <f t="array" ref="G71">IF(F71="","",IFERROR(INDEX('Item Master'!$B:$B,MATCH(F71,'Item Master'!$A:$A,0)),""))</f>
        <v/>
      </c>
      <c r="H71" s="8">
        <f>IF(F71="",0,SUMIFS('BOM Master'!$F:$F,'BOM Master'!$A:$A,C71,'BOM Master'!$D:$D,F71))</f>
        <v>0</v>
      </c>
      <c r="I71" s="8">
        <f t="shared" si="1"/>
        <v>0</v>
      </c>
      <c r="J71" s="8">
        <f t="array" ref="J71">IF(F71="",0,IFERROR(INDEX('Item Master'!$G:$G,MATCH(F71,'Item Master'!$A:$A,0)),0))</f>
        <v>0</v>
      </c>
      <c r="K71" s="8">
        <f t="shared" si="2"/>
        <v>0</v>
      </c>
      <c r="L71" s="19"/>
      <c r="M71" s="8" t="str">
        <f t="shared" si="3"/>
        <v/>
      </c>
      <c r="N71" s="8" t="str">
        <f t="shared" si="4"/>
        <v/>
      </c>
      <c r="O71" s="8" t="str">
        <f t="shared" si="5"/>
        <v/>
      </c>
      <c r="P71" s="8" t="str">
        <f t="shared" si="6"/>
        <v/>
      </c>
    </row>
    <row r="72" ht="15.75" customHeight="1">
      <c r="A72" s="19"/>
      <c r="B72" s="19"/>
      <c r="C72" s="19"/>
      <c r="D72" s="8" t="str">
        <f t="array" ref="D72">IF(C72="","",IFERROR(INDEX('Item Master'!$B:$B,MATCH(C72,'Item Master'!$A:$A,0)),""))</f>
        <v/>
      </c>
      <c r="E72" s="19"/>
      <c r="F72" s="19"/>
      <c r="G72" s="8" t="str">
        <f t="array" ref="G72">IF(F72="","",IFERROR(INDEX('Item Master'!$B:$B,MATCH(F72,'Item Master'!$A:$A,0)),""))</f>
        <v/>
      </c>
      <c r="H72" s="8">
        <f>IF(F72="",0,SUMIFS('BOM Master'!$F:$F,'BOM Master'!$A:$A,C72,'BOM Master'!$D:$D,F72))</f>
        <v>0</v>
      </c>
      <c r="I72" s="8">
        <f t="shared" si="1"/>
        <v>0</v>
      </c>
      <c r="J72" s="8">
        <f t="array" ref="J72">IF(F72="",0,IFERROR(INDEX('Item Master'!$G:$G,MATCH(F72,'Item Master'!$A:$A,0)),0))</f>
        <v>0</v>
      </c>
      <c r="K72" s="8">
        <f t="shared" si="2"/>
        <v>0</v>
      </c>
      <c r="L72" s="19"/>
      <c r="M72" s="8" t="str">
        <f t="shared" si="3"/>
        <v/>
      </c>
      <c r="N72" s="8" t="str">
        <f t="shared" si="4"/>
        <v/>
      </c>
      <c r="O72" s="8" t="str">
        <f t="shared" si="5"/>
        <v/>
      </c>
      <c r="P72" s="8" t="str">
        <f t="shared" si="6"/>
        <v/>
      </c>
    </row>
    <row r="73" ht="15.75" customHeight="1">
      <c r="A73" s="19"/>
      <c r="B73" s="19"/>
      <c r="C73" s="19"/>
      <c r="D73" s="8" t="str">
        <f t="array" ref="D73">IF(C73="","",IFERROR(INDEX('Item Master'!$B:$B,MATCH(C73,'Item Master'!$A:$A,0)),""))</f>
        <v/>
      </c>
      <c r="E73" s="19"/>
      <c r="F73" s="19"/>
      <c r="G73" s="8" t="str">
        <f t="array" ref="G73">IF(F73="","",IFERROR(INDEX('Item Master'!$B:$B,MATCH(F73,'Item Master'!$A:$A,0)),""))</f>
        <v/>
      </c>
      <c r="H73" s="8">
        <f>IF(F73="",0,SUMIFS('BOM Master'!$F:$F,'BOM Master'!$A:$A,C73,'BOM Master'!$D:$D,F73))</f>
        <v>0</v>
      </c>
      <c r="I73" s="8">
        <f t="shared" si="1"/>
        <v>0</v>
      </c>
      <c r="J73" s="8">
        <f t="array" ref="J73">IF(F73="",0,IFERROR(INDEX('Item Master'!$G:$G,MATCH(F73,'Item Master'!$A:$A,0)),0))</f>
        <v>0</v>
      </c>
      <c r="K73" s="8">
        <f t="shared" si="2"/>
        <v>0</v>
      </c>
      <c r="L73" s="19"/>
      <c r="M73" s="8" t="str">
        <f t="shared" si="3"/>
        <v/>
      </c>
      <c r="N73" s="8" t="str">
        <f t="shared" si="4"/>
        <v/>
      </c>
      <c r="O73" s="8" t="str">
        <f t="shared" si="5"/>
        <v/>
      </c>
      <c r="P73" s="8" t="str">
        <f t="shared" si="6"/>
        <v/>
      </c>
    </row>
    <row r="74" ht="15.75" customHeight="1">
      <c r="A74" s="19"/>
      <c r="B74" s="19"/>
      <c r="C74" s="19"/>
      <c r="D74" s="8" t="str">
        <f t="array" ref="D74">IF(C74="","",IFERROR(INDEX('Item Master'!$B:$B,MATCH(C74,'Item Master'!$A:$A,0)),""))</f>
        <v/>
      </c>
      <c r="E74" s="19"/>
      <c r="F74" s="19"/>
      <c r="G74" s="8" t="str">
        <f t="array" ref="G74">IF(F74="","",IFERROR(INDEX('Item Master'!$B:$B,MATCH(F74,'Item Master'!$A:$A,0)),""))</f>
        <v/>
      </c>
      <c r="H74" s="8">
        <f>IF(F74="",0,SUMIFS('BOM Master'!$F:$F,'BOM Master'!$A:$A,C74,'BOM Master'!$D:$D,F74))</f>
        <v>0</v>
      </c>
      <c r="I74" s="8">
        <f t="shared" si="1"/>
        <v>0</v>
      </c>
      <c r="J74" s="8">
        <f t="array" ref="J74">IF(F74="",0,IFERROR(INDEX('Item Master'!$G:$G,MATCH(F74,'Item Master'!$A:$A,0)),0))</f>
        <v>0</v>
      </c>
      <c r="K74" s="8">
        <f t="shared" si="2"/>
        <v>0</v>
      </c>
      <c r="L74" s="19"/>
      <c r="M74" s="8" t="str">
        <f t="shared" si="3"/>
        <v/>
      </c>
      <c r="N74" s="8" t="str">
        <f t="shared" si="4"/>
        <v/>
      </c>
      <c r="O74" s="8" t="str">
        <f t="shared" si="5"/>
        <v/>
      </c>
      <c r="P74" s="8" t="str">
        <f t="shared" si="6"/>
        <v/>
      </c>
    </row>
    <row r="75" ht="15.75" customHeight="1">
      <c r="A75" s="19"/>
      <c r="B75" s="19"/>
      <c r="C75" s="19"/>
      <c r="D75" s="8" t="str">
        <f t="array" ref="D75">IF(C75="","",IFERROR(INDEX('Item Master'!$B:$B,MATCH(C75,'Item Master'!$A:$A,0)),""))</f>
        <v/>
      </c>
      <c r="E75" s="19"/>
      <c r="F75" s="19"/>
      <c r="G75" s="8" t="str">
        <f t="array" ref="G75">IF(F75="","",IFERROR(INDEX('Item Master'!$B:$B,MATCH(F75,'Item Master'!$A:$A,0)),""))</f>
        <v/>
      </c>
      <c r="H75" s="8">
        <f>IF(F75="",0,SUMIFS('BOM Master'!$F:$F,'BOM Master'!$A:$A,C75,'BOM Master'!$D:$D,F75))</f>
        <v>0</v>
      </c>
      <c r="I75" s="8">
        <f t="shared" si="1"/>
        <v>0</v>
      </c>
      <c r="J75" s="8">
        <f t="array" ref="J75">IF(F75="",0,IFERROR(INDEX('Item Master'!$G:$G,MATCH(F75,'Item Master'!$A:$A,0)),0))</f>
        <v>0</v>
      </c>
      <c r="K75" s="8">
        <f t="shared" si="2"/>
        <v>0</v>
      </c>
      <c r="L75" s="19"/>
      <c r="M75" s="8" t="str">
        <f t="shared" si="3"/>
        <v/>
      </c>
      <c r="N75" s="8" t="str">
        <f t="shared" si="4"/>
        <v/>
      </c>
      <c r="O75" s="8" t="str">
        <f t="shared" si="5"/>
        <v/>
      </c>
      <c r="P75" s="8" t="str">
        <f t="shared" si="6"/>
        <v/>
      </c>
    </row>
    <row r="76" ht="15.75" customHeight="1">
      <c r="A76" s="19"/>
      <c r="B76" s="19"/>
      <c r="C76" s="19"/>
      <c r="D76" s="8" t="str">
        <f t="array" ref="D76">IF(C76="","",IFERROR(INDEX('Item Master'!$B:$B,MATCH(C76,'Item Master'!$A:$A,0)),""))</f>
        <v/>
      </c>
      <c r="E76" s="19"/>
      <c r="F76" s="19"/>
      <c r="G76" s="8" t="str">
        <f t="array" ref="G76">IF(F76="","",IFERROR(INDEX('Item Master'!$B:$B,MATCH(F76,'Item Master'!$A:$A,0)),""))</f>
        <v/>
      </c>
      <c r="H76" s="8">
        <f>IF(F76="",0,SUMIFS('BOM Master'!$F:$F,'BOM Master'!$A:$A,C76,'BOM Master'!$D:$D,F76))</f>
        <v>0</v>
      </c>
      <c r="I76" s="8">
        <f t="shared" si="1"/>
        <v>0</v>
      </c>
      <c r="J76" s="8">
        <f t="array" ref="J76">IF(F76="",0,IFERROR(INDEX('Item Master'!$G:$G,MATCH(F76,'Item Master'!$A:$A,0)),0))</f>
        <v>0</v>
      </c>
      <c r="K76" s="8">
        <f t="shared" si="2"/>
        <v>0</v>
      </c>
      <c r="L76" s="19"/>
      <c r="M76" s="8" t="str">
        <f t="shared" si="3"/>
        <v/>
      </c>
      <c r="N76" s="8" t="str">
        <f t="shared" si="4"/>
        <v/>
      </c>
      <c r="O76" s="8" t="str">
        <f t="shared" si="5"/>
        <v/>
      </c>
      <c r="P76" s="8" t="str">
        <f t="shared" si="6"/>
        <v/>
      </c>
    </row>
    <row r="77" ht="15.75" customHeight="1">
      <c r="A77" s="19"/>
      <c r="B77" s="19"/>
      <c r="C77" s="19"/>
      <c r="D77" s="8" t="str">
        <f t="array" ref="D77">IF(C77="","",IFERROR(INDEX('Item Master'!$B:$B,MATCH(C77,'Item Master'!$A:$A,0)),""))</f>
        <v/>
      </c>
      <c r="E77" s="19"/>
      <c r="F77" s="19"/>
      <c r="G77" s="8" t="str">
        <f t="array" ref="G77">IF(F77="","",IFERROR(INDEX('Item Master'!$B:$B,MATCH(F77,'Item Master'!$A:$A,0)),""))</f>
        <v/>
      </c>
      <c r="H77" s="8">
        <f>IF(F77="",0,SUMIFS('BOM Master'!$F:$F,'BOM Master'!$A:$A,C77,'BOM Master'!$D:$D,F77))</f>
        <v>0</v>
      </c>
      <c r="I77" s="8">
        <f t="shared" si="1"/>
        <v>0</v>
      </c>
      <c r="J77" s="8">
        <f t="array" ref="J77">IF(F77="",0,IFERROR(INDEX('Item Master'!$G:$G,MATCH(F77,'Item Master'!$A:$A,0)),0))</f>
        <v>0</v>
      </c>
      <c r="K77" s="8">
        <f t="shared" si="2"/>
        <v>0</v>
      </c>
      <c r="L77" s="19"/>
      <c r="M77" s="8" t="str">
        <f t="shared" si="3"/>
        <v/>
      </c>
      <c r="N77" s="8" t="str">
        <f t="shared" si="4"/>
        <v/>
      </c>
      <c r="O77" s="8" t="str">
        <f t="shared" si="5"/>
        <v/>
      </c>
      <c r="P77" s="8" t="str">
        <f t="shared" si="6"/>
        <v/>
      </c>
    </row>
    <row r="78" ht="15.75" customHeight="1">
      <c r="A78" s="19"/>
      <c r="B78" s="19"/>
      <c r="C78" s="19"/>
      <c r="D78" s="8" t="str">
        <f t="array" ref="D78">IF(C78="","",IFERROR(INDEX('Item Master'!$B:$B,MATCH(C78,'Item Master'!$A:$A,0)),""))</f>
        <v/>
      </c>
      <c r="E78" s="19"/>
      <c r="F78" s="19"/>
      <c r="G78" s="8" t="str">
        <f t="array" ref="G78">IF(F78="","",IFERROR(INDEX('Item Master'!$B:$B,MATCH(F78,'Item Master'!$A:$A,0)),""))</f>
        <v/>
      </c>
      <c r="H78" s="8">
        <f>IF(F78="",0,SUMIFS('BOM Master'!$F:$F,'BOM Master'!$A:$A,C78,'BOM Master'!$D:$D,F78))</f>
        <v>0</v>
      </c>
      <c r="I78" s="8">
        <f t="shared" si="1"/>
        <v>0</v>
      </c>
      <c r="J78" s="8">
        <f t="array" ref="J78">IF(F78="",0,IFERROR(INDEX('Item Master'!$G:$G,MATCH(F78,'Item Master'!$A:$A,0)),0))</f>
        <v>0</v>
      </c>
      <c r="K78" s="8">
        <f t="shared" si="2"/>
        <v>0</v>
      </c>
      <c r="L78" s="19"/>
      <c r="M78" s="8" t="str">
        <f t="shared" si="3"/>
        <v/>
      </c>
      <c r="N78" s="8" t="str">
        <f t="shared" si="4"/>
        <v/>
      </c>
      <c r="O78" s="8" t="str">
        <f t="shared" si="5"/>
        <v/>
      </c>
      <c r="P78" s="8" t="str">
        <f t="shared" si="6"/>
        <v/>
      </c>
    </row>
    <row r="79" ht="15.75" customHeight="1">
      <c r="A79" s="19"/>
      <c r="B79" s="19"/>
      <c r="C79" s="19"/>
      <c r="D79" s="8" t="str">
        <f t="array" ref="D79">IF(C79="","",IFERROR(INDEX('Item Master'!$B:$B,MATCH(C79,'Item Master'!$A:$A,0)),""))</f>
        <v/>
      </c>
      <c r="E79" s="19"/>
      <c r="F79" s="19"/>
      <c r="G79" s="8" t="str">
        <f t="array" ref="G79">IF(F79="","",IFERROR(INDEX('Item Master'!$B:$B,MATCH(F79,'Item Master'!$A:$A,0)),""))</f>
        <v/>
      </c>
      <c r="H79" s="8">
        <f>IF(F79="",0,SUMIFS('BOM Master'!$F:$F,'BOM Master'!$A:$A,C79,'BOM Master'!$D:$D,F79))</f>
        <v>0</v>
      </c>
      <c r="I79" s="8">
        <f t="shared" si="1"/>
        <v>0</v>
      </c>
      <c r="J79" s="8">
        <f t="array" ref="J79">IF(F79="",0,IFERROR(INDEX('Item Master'!$G:$G,MATCH(F79,'Item Master'!$A:$A,0)),0))</f>
        <v>0</v>
      </c>
      <c r="K79" s="8">
        <f t="shared" si="2"/>
        <v>0</v>
      </c>
      <c r="L79" s="19"/>
      <c r="M79" s="8" t="str">
        <f t="shared" si="3"/>
        <v/>
      </c>
      <c r="N79" s="8" t="str">
        <f t="shared" si="4"/>
        <v/>
      </c>
      <c r="O79" s="8" t="str">
        <f t="shared" si="5"/>
        <v/>
      </c>
      <c r="P79" s="8" t="str">
        <f t="shared" si="6"/>
        <v/>
      </c>
    </row>
    <row r="80" ht="15.75" customHeight="1">
      <c r="A80" s="19"/>
      <c r="B80" s="19"/>
      <c r="C80" s="19"/>
      <c r="D80" s="8" t="str">
        <f t="array" ref="D80">IF(C80="","",IFERROR(INDEX('Item Master'!$B:$B,MATCH(C80,'Item Master'!$A:$A,0)),""))</f>
        <v/>
      </c>
      <c r="E80" s="19"/>
      <c r="F80" s="19"/>
      <c r="G80" s="8" t="str">
        <f t="array" ref="G80">IF(F80="","",IFERROR(INDEX('Item Master'!$B:$B,MATCH(F80,'Item Master'!$A:$A,0)),""))</f>
        <v/>
      </c>
      <c r="H80" s="8">
        <f>IF(F80="",0,SUMIFS('BOM Master'!$F:$F,'BOM Master'!$A:$A,C80,'BOM Master'!$D:$D,F80))</f>
        <v>0</v>
      </c>
      <c r="I80" s="8">
        <f t="shared" si="1"/>
        <v>0</v>
      </c>
      <c r="J80" s="8">
        <f t="array" ref="J80">IF(F80="",0,IFERROR(INDEX('Item Master'!$G:$G,MATCH(F80,'Item Master'!$A:$A,0)),0))</f>
        <v>0</v>
      </c>
      <c r="K80" s="8">
        <f t="shared" si="2"/>
        <v>0</v>
      </c>
      <c r="L80" s="19"/>
      <c r="M80" s="8" t="str">
        <f t="shared" si="3"/>
        <v/>
      </c>
      <c r="N80" s="8" t="str">
        <f t="shared" si="4"/>
        <v/>
      </c>
      <c r="O80" s="8" t="str">
        <f t="shared" si="5"/>
        <v/>
      </c>
      <c r="P80" s="8" t="str">
        <f t="shared" si="6"/>
        <v/>
      </c>
    </row>
    <row r="81" ht="15.75" customHeight="1">
      <c r="A81" s="19"/>
      <c r="B81" s="19"/>
      <c r="C81" s="19"/>
      <c r="D81" s="8" t="str">
        <f t="array" ref="D81">IF(C81="","",IFERROR(INDEX('Item Master'!$B:$B,MATCH(C81,'Item Master'!$A:$A,0)),""))</f>
        <v/>
      </c>
      <c r="E81" s="19"/>
      <c r="F81" s="19"/>
      <c r="G81" s="8" t="str">
        <f t="array" ref="G81">IF(F81="","",IFERROR(INDEX('Item Master'!$B:$B,MATCH(F81,'Item Master'!$A:$A,0)),""))</f>
        <v/>
      </c>
      <c r="H81" s="8">
        <f>IF(F81="",0,SUMIFS('BOM Master'!$F:$F,'BOM Master'!$A:$A,C81,'BOM Master'!$D:$D,F81))</f>
        <v>0</v>
      </c>
      <c r="I81" s="8">
        <f t="shared" si="1"/>
        <v>0</v>
      </c>
      <c r="J81" s="8">
        <f t="array" ref="J81">IF(F81="",0,IFERROR(INDEX('Item Master'!$G:$G,MATCH(F81,'Item Master'!$A:$A,0)),0))</f>
        <v>0</v>
      </c>
      <c r="K81" s="8">
        <f t="shared" si="2"/>
        <v>0</v>
      </c>
      <c r="L81" s="19"/>
      <c r="M81" s="8" t="str">
        <f t="shared" si="3"/>
        <v/>
      </c>
      <c r="N81" s="8" t="str">
        <f t="shared" si="4"/>
        <v/>
      </c>
      <c r="O81" s="8" t="str">
        <f t="shared" si="5"/>
        <v/>
      </c>
      <c r="P81" s="8" t="str">
        <f t="shared" si="6"/>
        <v/>
      </c>
    </row>
    <row r="82" ht="15.75" customHeight="1">
      <c r="A82" s="19"/>
      <c r="B82" s="19"/>
      <c r="C82" s="19"/>
      <c r="D82" s="8" t="str">
        <f t="array" ref="D82">IF(C82="","",IFERROR(INDEX('Item Master'!$B:$B,MATCH(C82,'Item Master'!$A:$A,0)),""))</f>
        <v/>
      </c>
      <c r="E82" s="19"/>
      <c r="F82" s="19"/>
      <c r="G82" s="8" t="str">
        <f t="array" ref="G82">IF(F82="","",IFERROR(INDEX('Item Master'!$B:$B,MATCH(F82,'Item Master'!$A:$A,0)),""))</f>
        <v/>
      </c>
      <c r="H82" s="8">
        <f>IF(F82="",0,SUMIFS('BOM Master'!$F:$F,'BOM Master'!$A:$A,C82,'BOM Master'!$D:$D,F82))</f>
        <v>0</v>
      </c>
      <c r="I82" s="8">
        <f t="shared" si="1"/>
        <v>0</v>
      </c>
      <c r="J82" s="8">
        <f t="array" ref="J82">IF(F82="",0,IFERROR(INDEX('Item Master'!$G:$G,MATCH(F82,'Item Master'!$A:$A,0)),0))</f>
        <v>0</v>
      </c>
      <c r="K82" s="8">
        <f t="shared" si="2"/>
        <v>0</v>
      </c>
      <c r="L82" s="19"/>
      <c r="M82" s="8" t="str">
        <f t="shared" si="3"/>
        <v/>
      </c>
      <c r="N82" s="8" t="str">
        <f t="shared" si="4"/>
        <v/>
      </c>
      <c r="O82" s="8" t="str">
        <f t="shared" si="5"/>
        <v/>
      </c>
      <c r="P82" s="8" t="str">
        <f t="shared" si="6"/>
        <v/>
      </c>
    </row>
    <row r="83" ht="15.75" customHeight="1">
      <c r="A83" s="19"/>
      <c r="B83" s="19"/>
      <c r="C83" s="19"/>
      <c r="D83" s="8" t="str">
        <f t="array" ref="D83">IF(C83="","",IFERROR(INDEX('Item Master'!$B:$B,MATCH(C83,'Item Master'!$A:$A,0)),""))</f>
        <v/>
      </c>
      <c r="E83" s="19"/>
      <c r="F83" s="19"/>
      <c r="G83" s="8" t="str">
        <f t="array" ref="G83">IF(F83="","",IFERROR(INDEX('Item Master'!$B:$B,MATCH(F83,'Item Master'!$A:$A,0)),""))</f>
        <v/>
      </c>
      <c r="H83" s="8">
        <f>IF(F83="",0,SUMIFS('BOM Master'!$F:$F,'BOM Master'!$A:$A,C83,'BOM Master'!$D:$D,F83))</f>
        <v>0</v>
      </c>
      <c r="I83" s="8">
        <f t="shared" si="1"/>
        <v>0</v>
      </c>
      <c r="J83" s="8">
        <f t="array" ref="J83">IF(F83="",0,IFERROR(INDEX('Item Master'!$G:$G,MATCH(F83,'Item Master'!$A:$A,0)),0))</f>
        <v>0</v>
      </c>
      <c r="K83" s="8">
        <f t="shared" si="2"/>
        <v>0</v>
      </c>
      <c r="L83" s="19"/>
      <c r="M83" s="8" t="str">
        <f t="shared" si="3"/>
        <v/>
      </c>
      <c r="N83" s="8" t="str">
        <f t="shared" si="4"/>
        <v/>
      </c>
      <c r="O83" s="8" t="str">
        <f t="shared" si="5"/>
        <v/>
      </c>
      <c r="P83" s="8" t="str">
        <f t="shared" si="6"/>
        <v/>
      </c>
    </row>
    <row r="84" ht="15.75" customHeight="1">
      <c r="A84" s="19"/>
      <c r="B84" s="19"/>
      <c r="C84" s="19"/>
      <c r="D84" s="8" t="str">
        <f t="array" ref="D84">IF(C84="","",IFERROR(INDEX('Item Master'!$B:$B,MATCH(C84,'Item Master'!$A:$A,0)),""))</f>
        <v/>
      </c>
      <c r="E84" s="19"/>
      <c r="F84" s="19"/>
      <c r="G84" s="8" t="str">
        <f t="array" ref="G84">IF(F84="","",IFERROR(INDEX('Item Master'!$B:$B,MATCH(F84,'Item Master'!$A:$A,0)),""))</f>
        <v/>
      </c>
      <c r="H84" s="8">
        <f>IF(F84="",0,SUMIFS('BOM Master'!$F:$F,'BOM Master'!$A:$A,C84,'BOM Master'!$D:$D,F84))</f>
        <v>0</v>
      </c>
      <c r="I84" s="8">
        <f t="shared" si="1"/>
        <v>0</v>
      </c>
      <c r="J84" s="8">
        <f t="array" ref="J84">IF(F84="",0,IFERROR(INDEX('Item Master'!$G:$G,MATCH(F84,'Item Master'!$A:$A,0)),0))</f>
        <v>0</v>
      </c>
      <c r="K84" s="8">
        <f t="shared" si="2"/>
        <v>0</v>
      </c>
      <c r="L84" s="19"/>
      <c r="M84" s="8" t="str">
        <f t="shared" si="3"/>
        <v/>
      </c>
      <c r="N84" s="8" t="str">
        <f t="shared" si="4"/>
        <v/>
      </c>
      <c r="O84" s="8" t="str">
        <f t="shared" si="5"/>
        <v/>
      </c>
      <c r="P84" s="8" t="str">
        <f t="shared" si="6"/>
        <v/>
      </c>
    </row>
    <row r="85" ht="15.75" customHeight="1">
      <c r="A85" s="19"/>
      <c r="B85" s="19"/>
      <c r="C85" s="19"/>
      <c r="D85" s="8" t="str">
        <f t="array" ref="D85">IF(C85="","",IFERROR(INDEX('Item Master'!$B:$B,MATCH(C85,'Item Master'!$A:$A,0)),""))</f>
        <v/>
      </c>
      <c r="E85" s="19"/>
      <c r="F85" s="19"/>
      <c r="G85" s="8" t="str">
        <f t="array" ref="G85">IF(F85="","",IFERROR(INDEX('Item Master'!$B:$B,MATCH(F85,'Item Master'!$A:$A,0)),""))</f>
        <v/>
      </c>
      <c r="H85" s="8">
        <f>IF(F85="",0,SUMIFS('BOM Master'!$F:$F,'BOM Master'!$A:$A,C85,'BOM Master'!$D:$D,F85))</f>
        <v>0</v>
      </c>
      <c r="I85" s="8">
        <f t="shared" si="1"/>
        <v>0</v>
      </c>
      <c r="J85" s="8">
        <f t="array" ref="J85">IF(F85="",0,IFERROR(INDEX('Item Master'!$G:$G,MATCH(F85,'Item Master'!$A:$A,0)),0))</f>
        <v>0</v>
      </c>
      <c r="K85" s="8">
        <f t="shared" si="2"/>
        <v>0</v>
      </c>
      <c r="L85" s="19"/>
      <c r="M85" s="8" t="str">
        <f t="shared" si="3"/>
        <v/>
      </c>
      <c r="N85" s="8" t="str">
        <f t="shared" si="4"/>
        <v/>
      </c>
      <c r="O85" s="8" t="str">
        <f t="shared" si="5"/>
        <v/>
      </c>
      <c r="P85" s="8" t="str">
        <f t="shared" si="6"/>
        <v/>
      </c>
    </row>
    <row r="86" ht="15.75" customHeight="1">
      <c r="A86" s="19"/>
      <c r="B86" s="19"/>
      <c r="C86" s="19"/>
      <c r="D86" s="8" t="str">
        <f t="array" ref="D86">IF(C86="","",IFERROR(INDEX('Item Master'!$B:$B,MATCH(C86,'Item Master'!$A:$A,0)),""))</f>
        <v/>
      </c>
      <c r="E86" s="19"/>
      <c r="F86" s="19"/>
      <c r="G86" s="8" t="str">
        <f t="array" ref="G86">IF(F86="","",IFERROR(INDEX('Item Master'!$B:$B,MATCH(F86,'Item Master'!$A:$A,0)),""))</f>
        <v/>
      </c>
      <c r="H86" s="8">
        <f>IF(F86="",0,SUMIFS('BOM Master'!$F:$F,'BOM Master'!$A:$A,C86,'BOM Master'!$D:$D,F86))</f>
        <v>0</v>
      </c>
      <c r="I86" s="8">
        <f t="shared" si="1"/>
        <v>0</v>
      </c>
      <c r="J86" s="8">
        <f t="array" ref="J86">IF(F86="",0,IFERROR(INDEX('Item Master'!$G:$G,MATCH(F86,'Item Master'!$A:$A,0)),0))</f>
        <v>0</v>
      </c>
      <c r="K86" s="8">
        <f t="shared" si="2"/>
        <v>0</v>
      </c>
      <c r="L86" s="19"/>
      <c r="M86" s="8" t="str">
        <f t="shared" si="3"/>
        <v/>
      </c>
      <c r="N86" s="8" t="str">
        <f t="shared" si="4"/>
        <v/>
      </c>
      <c r="O86" s="8" t="str">
        <f t="shared" si="5"/>
        <v/>
      </c>
      <c r="P86" s="8" t="str">
        <f t="shared" si="6"/>
        <v/>
      </c>
    </row>
    <row r="87" ht="15.75" customHeight="1">
      <c r="A87" s="19"/>
      <c r="B87" s="19"/>
      <c r="C87" s="19"/>
      <c r="D87" s="8" t="str">
        <f t="array" ref="D87">IF(C87="","",IFERROR(INDEX('Item Master'!$B:$B,MATCH(C87,'Item Master'!$A:$A,0)),""))</f>
        <v/>
      </c>
      <c r="E87" s="19"/>
      <c r="F87" s="19"/>
      <c r="G87" s="8" t="str">
        <f t="array" ref="G87">IF(F87="","",IFERROR(INDEX('Item Master'!$B:$B,MATCH(F87,'Item Master'!$A:$A,0)),""))</f>
        <v/>
      </c>
      <c r="H87" s="8">
        <f>IF(F87="",0,SUMIFS('BOM Master'!$F:$F,'BOM Master'!$A:$A,C87,'BOM Master'!$D:$D,F87))</f>
        <v>0</v>
      </c>
      <c r="I87" s="8">
        <f t="shared" si="1"/>
        <v>0</v>
      </c>
      <c r="J87" s="8">
        <f t="array" ref="J87">IF(F87="",0,IFERROR(INDEX('Item Master'!$G:$G,MATCH(F87,'Item Master'!$A:$A,0)),0))</f>
        <v>0</v>
      </c>
      <c r="K87" s="8">
        <f t="shared" si="2"/>
        <v>0</v>
      </c>
      <c r="L87" s="19"/>
      <c r="M87" s="8" t="str">
        <f t="shared" si="3"/>
        <v/>
      </c>
      <c r="N87" s="8" t="str">
        <f t="shared" si="4"/>
        <v/>
      </c>
      <c r="O87" s="8" t="str">
        <f t="shared" si="5"/>
        <v/>
      </c>
      <c r="P87" s="8" t="str">
        <f t="shared" si="6"/>
        <v/>
      </c>
    </row>
    <row r="88" ht="15.75" customHeight="1">
      <c r="A88" s="19"/>
      <c r="B88" s="19"/>
      <c r="C88" s="19"/>
      <c r="D88" s="8" t="str">
        <f t="array" ref="D88">IF(C88="","",IFERROR(INDEX('Item Master'!$B:$B,MATCH(C88,'Item Master'!$A:$A,0)),""))</f>
        <v/>
      </c>
      <c r="E88" s="19"/>
      <c r="F88" s="19"/>
      <c r="G88" s="8" t="str">
        <f t="array" ref="G88">IF(F88="","",IFERROR(INDEX('Item Master'!$B:$B,MATCH(F88,'Item Master'!$A:$A,0)),""))</f>
        <v/>
      </c>
      <c r="H88" s="8">
        <f>IF(F88="",0,SUMIFS('BOM Master'!$F:$F,'BOM Master'!$A:$A,C88,'BOM Master'!$D:$D,F88))</f>
        <v>0</v>
      </c>
      <c r="I88" s="8">
        <f t="shared" si="1"/>
        <v>0</v>
      </c>
      <c r="J88" s="8">
        <f t="array" ref="J88">IF(F88="",0,IFERROR(INDEX('Item Master'!$G:$G,MATCH(F88,'Item Master'!$A:$A,0)),0))</f>
        <v>0</v>
      </c>
      <c r="K88" s="8">
        <f t="shared" si="2"/>
        <v>0</v>
      </c>
      <c r="L88" s="19"/>
      <c r="M88" s="8" t="str">
        <f t="shared" si="3"/>
        <v/>
      </c>
      <c r="N88" s="8" t="str">
        <f t="shared" si="4"/>
        <v/>
      </c>
      <c r="O88" s="8" t="str">
        <f t="shared" si="5"/>
        <v/>
      </c>
      <c r="P88" s="8" t="str">
        <f t="shared" si="6"/>
        <v/>
      </c>
    </row>
    <row r="89" ht="15.75" customHeight="1">
      <c r="A89" s="19"/>
      <c r="B89" s="19"/>
      <c r="C89" s="19"/>
      <c r="D89" s="8" t="str">
        <f t="array" ref="D89">IF(C89="","",IFERROR(INDEX('Item Master'!$B:$B,MATCH(C89,'Item Master'!$A:$A,0)),""))</f>
        <v/>
      </c>
      <c r="E89" s="19"/>
      <c r="F89" s="19"/>
      <c r="G89" s="8" t="str">
        <f t="array" ref="G89">IF(F89="","",IFERROR(INDEX('Item Master'!$B:$B,MATCH(F89,'Item Master'!$A:$A,0)),""))</f>
        <v/>
      </c>
      <c r="H89" s="8">
        <f>IF(F89="",0,SUMIFS('BOM Master'!$F:$F,'BOM Master'!$A:$A,C89,'BOM Master'!$D:$D,F89))</f>
        <v>0</v>
      </c>
      <c r="I89" s="8">
        <f t="shared" si="1"/>
        <v>0</v>
      </c>
      <c r="J89" s="8">
        <f t="array" ref="J89">IF(F89="",0,IFERROR(INDEX('Item Master'!$G:$G,MATCH(F89,'Item Master'!$A:$A,0)),0))</f>
        <v>0</v>
      </c>
      <c r="K89" s="8">
        <f t="shared" si="2"/>
        <v>0</v>
      </c>
      <c r="L89" s="19"/>
      <c r="M89" s="8" t="str">
        <f t="shared" si="3"/>
        <v/>
      </c>
      <c r="N89" s="8" t="str">
        <f t="shared" si="4"/>
        <v/>
      </c>
      <c r="O89" s="8" t="str">
        <f t="shared" si="5"/>
        <v/>
      </c>
      <c r="P89" s="8" t="str">
        <f t="shared" si="6"/>
        <v/>
      </c>
    </row>
    <row r="90" ht="15.75" customHeight="1">
      <c r="A90" s="19"/>
      <c r="B90" s="19"/>
      <c r="C90" s="19"/>
      <c r="D90" s="8" t="str">
        <f t="array" ref="D90">IF(C90="","",IFERROR(INDEX('Item Master'!$B:$B,MATCH(C90,'Item Master'!$A:$A,0)),""))</f>
        <v/>
      </c>
      <c r="E90" s="19"/>
      <c r="F90" s="19"/>
      <c r="G90" s="8" t="str">
        <f t="array" ref="G90">IF(F90="","",IFERROR(INDEX('Item Master'!$B:$B,MATCH(F90,'Item Master'!$A:$A,0)),""))</f>
        <v/>
      </c>
      <c r="H90" s="8">
        <f>IF(F90="",0,SUMIFS('BOM Master'!$F:$F,'BOM Master'!$A:$A,C90,'BOM Master'!$D:$D,F90))</f>
        <v>0</v>
      </c>
      <c r="I90" s="8">
        <f t="shared" si="1"/>
        <v>0</v>
      </c>
      <c r="J90" s="8">
        <f t="array" ref="J90">IF(F90="",0,IFERROR(INDEX('Item Master'!$G:$G,MATCH(F90,'Item Master'!$A:$A,0)),0))</f>
        <v>0</v>
      </c>
      <c r="K90" s="8">
        <f t="shared" si="2"/>
        <v>0</v>
      </c>
      <c r="L90" s="19"/>
      <c r="M90" s="8" t="str">
        <f t="shared" si="3"/>
        <v/>
      </c>
      <c r="N90" s="8" t="str">
        <f t="shared" si="4"/>
        <v/>
      </c>
      <c r="O90" s="8" t="str">
        <f t="shared" si="5"/>
        <v/>
      </c>
      <c r="P90" s="8" t="str">
        <f t="shared" si="6"/>
        <v/>
      </c>
    </row>
    <row r="91" ht="15.75" customHeight="1">
      <c r="A91" s="19"/>
      <c r="B91" s="19"/>
      <c r="C91" s="19"/>
      <c r="D91" s="8" t="str">
        <f t="array" ref="D91">IF(C91="","",IFERROR(INDEX('Item Master'!$B:$B,MATCH(C91,'Item Master'!$A:$A,0)),""))</f>
        <v/>
      </c>
      <c r="E91" s="19"/>
      <c r="F91" s="19"/>
      <c r="G91" s="8" t="str">
        <f t="array" ref="G91">IF(F91="","",IFERROR(INDEX('Item Master'!$B:$B,MATCH(F91,'Item Master'!$A:$A,0)),""))</f>
        <v/>
      </c>
      <c r="H91" s="8">
        <f>IF(F91="",0,SUMIFS('BOM Master'!$F:$F,'BOM Master'!$A:$A,C91,'BOM Master'!$D:$D,F91))</f>
        <v>0</v>
      </c>
      <c r="I91" s="8">
        <f t="shared" si="1"/>
        <v>0</v>
      </c>
      <c r="J91" s="8">
        <f t="array" ref="J91">IF(F91="",0,IFERROR(INDEX('Item Master'!$G:$G,MATCH(F91,'Item Master'!$A:$A,0)),0))</f>
        <v>0</v>
      </c>
      <c r="K91" s="8">
        <f t="shared" si="2"/>
        <v>0</v>
      </c>
      <c r="L91" s="19"/>
      <c r="M91" s="8" t="str">
        <f t="shared" si="3"/>
        <v/>
      </c>
      <c r="N91" s="8" t="str">
        <f t="shared" si="4"/>
        <v/>
      </c>
      <c r="O91" s="8" t="str">
        <f t="shared" si="5"/>
        <v/>
      </c>
      <c r="P91" s="8" t="str">
        <f t="shared" si="6"/>
        <v/>
      </c>
    </row>
    <row r="92" ht="15.75" customHeight="1">
      <c r="A92" s="19"/>
      <c r="B92" s="19"/>
      <c r="C92" s="19"/>
      <c r="D92" s="8" t="str">
        <f t="array" ref="D92">IF(C92="","",IFERROR(INDEX('Item Master'!$B:$B,MATCH(C92,'Item Master'!$A:$A,0)),""))</f>
        <v/>
      </c>
      <c r="E92" s="19"/>
      <c r="F92" s="19"/>
      <c r="G92" s="8" t="str">
        <f t="array" ref="G92">IF(F92="","",IFERROR(INDEX('Item Master'!$B:$B,MATCH(F92,'Item Master'!$A:$A,0)),""))</f>
        <v/>
      </c>
      <c r="H92" s="8">
        <f>IF(F92="",0,SUMIFS('BOM Master'!$F:$F,'BOM Master'!$A:$A,C92,'BOM Master'!$D:$D,F92))</f>
        <v>0</v>
      </c>
      <c r="I92" s="8">
        <f t="shared" si="1"/>
        <v>0</v>
      </c>
      <c r="J92" s="8">
        <f t="array" ref="J92">IF(F92="",0,IFERROR(INDEX('Item Master'!$G:$G,MATCH(F92,'Item Master'!$A:$A,0)),0))</f>
        <v>0</v>
      </c>
      <c r="K92" s="8">
        <f t="shared" si="2"/>
        <v>0</v>
      </c>
      <c r="L92" s="19"/>
      <c r="M92" s="8" t="str">
        <f t="shared" si="3"/>
        <v/>
      </c>
      <c r="N92" s="8" t="str">
        <f t="shared" si="4"/>
        <v/>
      </c>
      <c r="O92" s="8" t="str">
        <f t="shared" si="5"/>
        <v/>
      </c>
      <c r="P92" s="8" t="str">
        <f t="shared" si="6"/>
        <v/>
      </c>
    </row>
    <row r="93" ht="15.75" customHeight="1">
      <c r="A93" s="19"/>
      <c r="B93" s="19"/>
      <c r="C93" s="19"/>
      <c r="D93" s="8" t="str">
        <f t="array" ref="D93">IF(C93="","",IFERROR(INDEX('Item Master'!$B:$B,MATCH(C93,'Item Master'!$A:$A,0)),""))</f>
        <v/>
      </c>
      <c r="E93" s="19"/>
      <c r="F93" s="19"/>
      <c r="G93" s="8" t="str">
        <f t="array" ref="G93">IF(F93="","",IFERROR(INDEX('Item Master'!$B:$B,MATCH(F93,'Item Master'!$A:$A,0)),""))</f>
        <v/>
      </c>
      <c r="H93" s="8">
        <f>IF(F93="",0,SUMIFS('BOM Master'!$F:$F,'BOM Master'!$A:$A,C93,'BOM Master'!$D:$D,F93))</f>
        <v>0</v>
      </c>
      <c r="I93" s="8">
        <f t="shared" si="1"/>
        <v>0</v>
      </c>
      <c r="J93" s="8">
        <f t="array" ref="J93">IF(F93="",0,IFERROR(INDEX('Item Master'!$G:$G,MATCH(F93,'Item Master'!$A:$A,0)),0))</f>
        <v>0</v>
      </c>
      <c r="K93" s="8">
        <f t="shared" si="2"/>
        <v>0</v>
      </c>
      <c r="L93" s="19"/>
      <c r="M93" s="8" t="str">
        <f t="shared" si="3"/>
        <v/>
      </c>
      <c r="N93" s="8" t="str">
        <f t="shared" si="4"/>
        <v/>
      </c>
      <c r="O93" s="8" t="str">
        <f t="shared" si="5"/>
        <v/>
      </c>
      <c r="P93" s="8" t="str">
        <f t="shared" si="6"/>
        <v/>
      </c>
    </row>
    <row r="94" ht="15.75" customHeight="1">
      <c r="A94" s="19"/>
      <c r="B94" s="19"/>
      <c r="C94" s="19"/>
      <c r="D94" s="8" t="str">
        <f t="array" ref="D94">IF(C94="","",IFERROR(INDEX('Item Master'!$B:$B,MATCH(C94,'Item Master'!$A:$A,0)),""))</f>
        <v/>
      </c>
      <c r="E94" s="19"/>
      <c r="F94" s="19"/>
      <c r="G94" s="8" t="str">
        <f t="array" ref="G94">IF(F94="","",IFERROR(INDEX('Item Master'!$B:$B,MATCH(F94,'Item Master'!$A:$A,0)),""))</f>
        <v/>
      </c>
      <c r="H94" s="8">
        <f>IF(F94="",0,SUMIFS('BOM Master'!$F:$F,'BOM Master'!$A:$A,C94,'BOM Master'!$D:$D,F94))</f>
        <v>0</v>
      </c>
      <c r="I94" s="8">
        <f t="shared" si="1"/>
        <v>0</v>
      </c>
      <c r="J94" s="8">
        <f t="array" ref="J94">IF(F94="",0,IFERROR(INDEX('Item Master'!$G:$G,MATCH(F94,'Item Master'!$A:$A,0)),0))</f>
        <v>0</v>
      </c>
      <c r="K94" s="8">
        <f t="shared" si="2"/>
        <v>0</v>
      </c>
      <c r="L94" s="19"/>
      <c r="M94" s="8" t="str">
        <f t="shared" si="3"/>
        <v/>
      </c>
      <c r="N94" s="8" t="str">
        <f t="shared" si="4"/>
        <v/>
      </c>
      <c r="O94" s="8" t="str">
        <f t="shared" si="5"/>
        <v/>
      </c>
      <c r="P94" s="8" t="str">
        <f t="shared" si="6"/>
        <v/>
      </c>
    </row>
    <row r="95" ht="15.75" customHeight="1">
      <c r="A95" s="19"/>
      <c r="B95" s="19"/>
      <c r="C95" s="19"/>
      <c r="D95" s="8" t="str">
        <f t="array" ref="D95">IF(C95="","",IFERROR(INDEX('Item Master'!$B:$B,MATCH(C95,'Item Master'!$A:$A,0)),""))</f>
        <v/>
      </c>
      <c r="E95" s="19"/>
      <c r="F95" s="19"/>
      <c r="G95" s="8" t="str">
        <f t="array" ref="G95">IF(F95="","",IFERROR(INDEX('Item Master'!$B:$B,MATCH(F95,'Item Master'!$A:$A,0)),""))</f>
        <v/>
      </c>
      <c r="H95" s="8">
        <f>IF(F95="",0,SUMIFS('BOM Master'!$F:$F,'BOM Master'!$A:$A,C95,'BOM Master'!$D:$D,F95))</f>
        <v>0</v>
      </c>
      <c r="I95" s="8">
        <f t="shared" si="1"/>
        <v>0</v>
      </c>
      <c r="J95" s="8">
        <f t="array" ref="J95">IF(F95="",0,IFERROR(INDEX('Item Master'!$G:$G,MATCH(F95,'Item Master'!$A:$A,0)),0))</f>
        <v>0</v>
      </c>
      <c r="K95" s="8">
        <f t="shared" si="2"/>
        <v>0</v>
      </c>
      <c r="L95" s="19"/>
      <c r="M95" s="8" t="str">
        <f t="shared" si="3"/>
        <v/>
      </c>
      <c r="N95" s="8" t="str">
        <f t="shared" si="4"/>
        <v/>
      </c>
      <c r="O95" s="8" t="str">
        <f t="shared" si="5"/>
        <v/>
      </c>
      <c r="P95" s="8" t="str">
        <f t="shared" si="6"/>
        <v/>
      </c>
    </row>
    <row r="96" ht="15.75" customHeight="1">
      <c r="A96" s="19"/>
      <c r="B96" s="19"/>
      <c r="C96" s="19"/>
      <c r="D96" s="8" t="str">
        <f t="array" ref="D96">IF(C96="","",IFERROR(INDEX('Item Master'!$B:$B,MATCH(C96,'Item Master'!$A:$A,0)),""))</f>
        <v/>
      </c>
      <c r="E96" s="19"/>
      <c r="F96" s="19"/>
      <c r="G96" s="8" t="str">
        <f t="array" ref="G96">IF(F96="","",IFERROR(INDEX('Item Master'!$B:$B,MATCH(F96,'Item Master'!$A:$A,0)),""))</f>
        <v/>
      </c>
      <c r="H96" s="8">
        <f>IF(F96="",0,SUMIFS('BOM Master'!$F:$F,'BOM Master'!$A:$A,C96,'BOM Master'!$D:$D,F96))</f>
        <v>0</v>
      </c>
      <c r="I96" s="8">
        <f t="shared" si="1"/>
        <v>0</v>
      </c>
      <c r="J96" s="8">
        <f t="array" ref="J96">IF(F96="",0,IFERROR(INDEX('Item Master'!$G:$G,MATCH(F96,'Item Master'!$A:$A,0)),0))</f>
        <v>0</v>
      </c>
      <c r="K96" s="8">
        <f t="shared" si="2"/>
        <v>0</v>
      </c>
      <c r="L96" s="19"/>
      <c r="M96" s="8" t="str">
        <f t="shared" si="3"/>
        <v/>
      </c>
      <c r="N96" s="8" t="str">
        <f t="shared" si="4"/>
        <v/>
      </c>
      <c r="O96" s="8" t="str">
        <f t="shared" si="5"/>
        <v/>
      </c>
      <c r="P96" s="8" t="str">
        <f t="shared" si="6"/>
        <v/>
      </c>
    </row>
    <row r="97" ht="15.75" customHeight="1">
      <c r="A97" s="19"/>
      <c r="B97" s="19"/>
      <c r="C97" s="19"/>
      <c r="D97" s="8" t="str">
        <f t="array" ref="D97">IF(C97="","",IFERROR(INDEX('Item Master'!$B:$B,MATCH(C97,'Item Master'!$A:$A,0)),""))</f>
        <v/>
      </c>
      <c r="E97" s="19"/>
      <c r="F97" s="19"/>
      <c r="G97" s="8" t="str">
        <f t="array" ref="G97">IF(F97="","",IFERROR(INDEX('Item Master'!$B:$B,MATCH(F97,'Item Master'!$A:$A,0)),""))</f>
        <v/>
      </c>
      <c r="H97" s="8">
        <f>IF(F97="",0,SUMIFS('BOM Master'!$F:$F,'BOM Master'!$A:$A,C97,'BOM Master'!$D:$D,F97))</f>
        <v>0</v>
      </c>
      <c r="I97" s="8">
        <f t="shared" si="1"/>
        <v>0</v>
      </c>
      <c r="J97" s="8">
        <f t="array" ref="J97">IF(F97="",0,IFERROR(INDEX('Item Master'!$G:$G,MATCH(F97,'Item Master'!$A:$A,0)),0))</f>
        <v>0</v>
      </c>
      <c r="K97" s="8">
        <f t="shared" si="2"/>
        <v>0</v>
      </c>
      <c r="L97" s="19"/>
      <c r="M97" s="8" t="str">
        <f t="shared" si="3"/>
        <v/>
      </c>
      <c r="N97" s="8" t="str">
        <f t="shared" si="4"/>
        <v/>
      </c>
      <c r="O97" s="8" t="str">
        <f t="shared" si="5"/>
        <v/>
      </c>
      <c r="P97" s="8" t="str">
        <f t="shared" si="6"/>
        <v/>
      </c>
    </row>
    <row r="98" ht="15.75" customHeight="1">
      <c r="A98" s="19"/>
      <c r="B98" s="19"/>
      <c r="C98" s="19"/>
      <c r="D98" s="8" t="str">
        <f t="array" ref="D98">IF(C98="","",IFERROR(INDEX('Item Master'!$B:$B,MATCH(C98,'Item Master'!$A:$A,0)),""))</f>
        <v/>
      </c>
      <c r="E98" s="19"/>
      <c r="F98" s="19"/>
      <c r="G98" s="8" t="str">
        <f t="array" ref="G98">IF(F98="","",IFERROR(INDEX('Item Master'!$B:$B,MATCH(F98,'Item Master'!$A:$A,0)),""))</f>
        <v/>
      </c>
      <c r="H98" s="8">
        <f>IF(F98="",0,SUMIFS('BOM Master'!$F:$F,'BOM Master'!$A:$A,C98,'BOM Master'!$D:$D,F98))</f>
        <v>0</v>
      </c>
      <c r="I98" s="8">
        <f t="shared" si="1"/>
        <v>0</v>
      </c>
      <c r="J98" s="8">
        <f t="array" ref="J98">IF(F98="",0,IFERROR(INDEX('Item Master'!$G:$G,MATCH(F98,'Item Master'!$A:$A,0)),0))</f>
        <v>0</v>
      </c>
      <c r="K98" s="8">
        <f t="shared" si="2"/>
        <v>0</v>
      </c>
      <c r="L98" s="19"/>
      <c r="M98" s="8" t="str">
        <f t="shared" si="3"/>
        <v/>
      </c>
      <c r="N98" s="8" t="str">
        <f t="shared" si="4"/>
        <v/>
      </c>
      <c r="O98" s="8" t="str">
        <f t="shared" si="5"/>
        <v/>
      </c>
      <c r="P98" s="8" t="str">
        <f t="shared" si="6"/>
        <v/>
      </c>
    </row>
    <row r="99" ht="15.75" customHeight="1">
      <c r="A99" s="19"/>
      <c r="B99" s="19"/>
      <c r="C99" s="19"/>
      <c r="D99" s="8" t="str">
        <f t="array" ref="D99">IF(C99="","",IFERROR(INDEX('Item Master'!$B:$B,MATCH(C99,'Item Master'!$A:$A,0)),""))</f>
        <v/>
      </c>
      <c r="E99" s="19"/>
      <c r="F99" s="19"/>
      <c r="G99" s="8" t="str">
        <f t="array" ref="G99">IF(F99="","",IFERROR(INDEX('Item Master'!$B:$B,MATCH(F99,'Item Master'!$A:$A,0)),""))</f>
        <v/>
      </c>
      <c r="H99" s="8">
        <f>IF(F99="",0,SUMIFS('BOM Master'!$F:$F,'BOM Master'!$A:$A,C99,'BOM Master'!$D:$D,F99))</f>
        <v>0</v>
      </c>
      <c r="I99" s="8">
        <f t="shared" si="1"/>
        <v>0</v>
      </c>
      <c r="J99" s="8">
        <f t="array" ref="J99">IF(F99="",0,IFERROR(INDEX('Item Master'!$G:$G,MATCH(F99,'Item Master'!$A:$A,0)),0))</f>
        <v>0</v>
      </c>
      <c r="K99" s="8">
        <f t="shared" si="2"/>
        <v>0</v>
      </c>
      <c r="L99" s="19"/>
      <c r="M99" s="8" t="str">
        <f t="shared" si="3"/>
        <v/>
      </c>
      <c r="N99" s="8" t="str">
        <f t="shared" si="4"/>
        <v/>
      </c>
      <c r="O99" s="8" t="str">
        <f t="shared" si="5"/>
        <v/>
      </c>
      <c r="P99" s="8" t="str">
        <f t="shared" si="6"/>
        <v/>
      </c>
    </row>
    <row r="100" ht="15.75" customHeight="1">
      <c r="A100" s="19"/>
      <c r="B100" s="19"/>
      <c r="C100" s="19"/>
      <c r="D100" s="8" t="str">
        <f t="array" ref="D100">IF(C100="","",IFERROR(INDEX('Item Master'!$B:$B,MATCH(C100,'Item Master'!$A:$A,0)),""))</f>
        <v/>
      </c>
      <c r="E100" s="19"/>
      <c r="F100" s="19"/>
      <c r="G100" s="8" t="str">
        <f t="array" ref="G100">IF(F100="","",IFERROR(INDEX('Item Master'!$B:$B,MATCH(F100,'Item Master'!$A:$A,0)),""))</f>
        <v/>
      </c>
      <c r="H100" s="8">
        <f>IF(F100="",0,SUMIFS('BOM Master'!$F:$F,'BOM Master'!$A:$A,C100,'BOM Master'!$D:$D,F100))</f>
        <v>0</v>
      </c>
      <c r="I100" s="8">
        <f t="shared" si="1"/>
        <v>0</v>
      </c>
      <c r="J100" s="8">
        <f t="array" ref="J100">IF(F100="",0,IFERROR(INDEX('Item Master'!$G:$G,MATCH(F100,'Item Master'!$A:$A,0)),0))</f>
        <v>0</v>
      </c>
      <c r="K100" s="8">
        <f t="shared" si="2"/>
        <v>0</v>
      </c>
      <c r="L100" s="19"/>
      <c r="M100" s="8" t="str">
        <f t="shared" si="3"/>
        <v/>
      </c>
      <c r="N100" s="8" t="str">
        <f t="shared" si="4"/>
        <v/>
      </c>
      <c r="O100" s="8" t="str">
        <f t="shared" si="5"/>
        <v/>
      </c>
      <c r="P100" s="8" t="str">
        <f t="shared" si="6"/>
        <v/>
      </c>
    </row>
    <row r="101" ht="15.75" customHeight="1">
      <c r="A101" s="19"/>
      <c r="B101" s="19"/>
      <c r="C101" s="19"/>
      <c r="D101" s="8" t="str">
        <f t="array" ref="D101">IF(C101="","",IFERROR(INDEX('Item Master'!$B:$B,MATCH(C101,'Item Master'!$A:$A,0)),""))</f>
        <v/>
      </c>
      <c r="E101" s="19"/>
      <c r="F101" s="19"/>
      <c r="G101" s="8" t="str">
        <f t="array" ref="G101">IF(F101="","",IFERROR(INDEX('Item Master'!$B:$B,MATCH(F101,'Item Master'!$A:$A,0)),""))</f>
        <v/>
      </c>
      <c r="H101" s="8">
        <f>IF(F101="",0,SUMIFS('BOM Master'!$F:$F,'BOM Master'!$A:$A,C101,'BOM Master'!$D:$D,F101))</f>
        <v>0</v>
      </c>
      <c r="I101" s="8">
        <f t="shared" si="1"/>
        <v>0</v>
      </c>
      <c r="J101" s="8">
        <f t="array" ref="J101">IF(F101="",0,IFERROR(INDEX('Item Master'!$G:$G,MATCH(F101,'Item Master'!$A:$A,0)),0))</f>
        <v>0</v>
      </c>
      <c r="K101" s="8">
        <f t="shared" si="2"/>
        <v>0</v>
      </c>
      <c r="L101" s="19"/>
      <c r="M101" s="8" t="str">
        <f t="shared" si="3"/>
        <v/>
      </c>
      <c r="N101" s="8" t="str">
        <f t="shared" si="4"/>
        <v/>
      </c>
      <c r="O101" s="8" t="str">
        <f t="shared" si="5"/>
        <v/>
      </c>
      <c r="P101" s="8" t="str">
        <f t="shared" si="6"/>
        <v/>
      </c>
    </row>
    <row r="102" ht="15.75" customHeight="1">
      <c r="A102" s="19"/>
      <c r="B102" s="19"/>
      <c r="C102" s="19"/>
      <c r="D102" s="8" t="str">
        <f t="array" ref="D102">IF(C102="","",IFERROR(INDEX('Item Master'!$B:$B,MATCH(C102,'Item Master'!$A:$A,0)),""))</f>
        <v/>
      </c>
      <c r="E102" s="19"/>
      <c r="F102" s="19"/>
      <c r="G102" s="8" t="str">
        <f t="array" ref="G102">IF(F102="","",IFERROR(INDEX('Item Master'!$B:$B,MATCH(F102,'Item Master'!$A:$A,0)),""))</f>
        <v/>
      </c>
      <c r="H102" s="8">
        <f>IF(F102="",0,SUMIFS('BOM Master'!$F:$F,'BOM Master'!$A:$A,C102,'BOM Master'!$D:$D,F102))</f>
        <v>0</v>
      </c>
      <c r="I102" s="8">
        <f t="shared" si="1"/>
        <v>0</v>
      </c>
      <c r="J102" s="8">
        <f t="array" ref="J102">IF(F102="",0,IFERROR(INDEX('Item Master'!$G:$G,MATCH(F102,'Item Master'!$A:$A,0)),0))</f>
        <v>0</v>
      </c>
      <c r="K102" s="8">
        <f t="shared" si="2"/>
        <v>0</v>
      </c>
      <c r="L102" s="19"/>
      <c r="M102" s="8" t="str">
        <f t="shared" si="3"/>
        <v/>
      </c>
      <c r="N102" s="8" t="str">
        <f t="shared" si="4"/>
        <v/>
      </c>
      <c r="O102" s="8" t="str">
        <f t="shared" si="5"/>
        <v/>
      </c>
      <c r="P102" s="8" t="str">
        <f t="shared" si="6"/>
        <v/>
      </c>
    </row>
    <row r="103" ht="15.75" customHeight="1">
      <c r="A103" s="19"/>
      <c r="B103" s="19"/>
      <c r="C103" s="19"/>
      <c r="D103" s="8" t="str">
        <f t="array" ref="D103">IF(C103="","",IFERROR(INDEX('Item Master'!$B:$B,MATCH(C103,'Item Master'!$A:$A,0)),""))</f>
        <v/>
      </c>
      <c r="E103" s="19"/>
      <c r="F103" s="19"/>
      <c r="G103" s="8" t="str">
        <f t="array" ref="G103">IF(F103="","",IFERROR(INDEX('Item Master'!$B:$B,MATCH(F103,'Item Master'!$A:$A,0)),""))</f>
        <v/>
      </c>
      <c r="H103" s="8">
        <f>IF(F103="",0,SUMIFS('BOM Master'!$F:$F,'BOM Master'!$A:$A,C103,'BOM Master'!$D:$D,F103))</f>
        <v>0</v>
      </c>
      <c r="I103" s="8">
        <f t="shared" si="1"/>
        <v>0</v>
      </c>
      <c r="J103" s="8">
        <f t="array" ref="J103">IF(F103="",0,IFERROR(INDEX('Item Master'!$G:$G,MATCH(F103,'Item Master'!$A:$A,0)),0))</f>
        <v>0</v>
      </c>
      <c r="K103" s="8">
        <f t="shared" si="2"/>
        <v>0</v>
      </c>
      <c r="L103" s="19"/>
      <c r="M103" s="8" t="str">
        <f t="shared" si="3"/>
        <v/>
      </c>
      <c r="N103" s="8" t="str">
        <f t="shared" si="4"/>
        <v/>
      </c>
      <c r="O103" s="8" t="str">
        <f t="shared" si="5"/>
        <v/>
      </c>
      <c r="P103" s="8" t="str">
        <f t="shared" si="6"/>
        <v/>
      </c>
    </row>
    <row r="104" ht="15.75" customHeight="1">
      <c r="A104" s="19"/>
      <c r="B104" s="19"/>
      <c r="C104" s="19"/>
      <c r="D104" s="8" t="str">
        <f t="array" ref="D104">IF(C104="","",IFERROR(INDEX('Item Master'!$B:$B,MATCH(C104,'Item Master'!$A:$A,0)),""))</f>
        <v/>
      </c>
      <c r="E104" s="19"/>
      <c r="F104" s="19"/>
      <c r="G104" s="8" t="str">
        <f t="array" ref="G104">IF(F104="","",IFERROR(INDEX('Item Master'!$B:$B,MATCH(F104,'Item Master'!$A:$A,0)),""))</f>
        <v/>
      </c>
      <c r="H104" s="8">
        <f>IF(F104="",0,SUMIFS('BOM Master'!$F:$F,'BOM Master'!$A:$A,C104,'BOM Master'!$D:$D,F104))</f>
        <v>0</v>
      </c>
      <c r="I104" s="8">
        <f t="shared" si="1"/>
        <v>0</v>
      </c>
      <c r="J104" s="8">
        <f t="array" ref="J104">IF(F104="",0,IFERROR(INDEX('Item Master'!$G:$G,MATCH(F104,'Item Master'!$A:$A,0)),0))</f>
        <v>0</v>
      </c>
      <c r="K104" s="8">
        <f t="shared" si="2"/>
        <v>0</v>
      </c>
      <c r="L104" s="19"/>
      <c r="M104" s="8" t="str">
        <f t="shared" si="3"/>
        <v/>
      </c>
      <c r="N104" s="8" t="str">
        <f t="shared" si="4"/>
        <v/>
      </c>
      <c r="O104" s="8" t="str">
        <f t="shared" si="5"/>
        <v/>
      </c>
      <c r="P104" s="8" t="str">
        <f t="shared" si="6"/>
        <v/>
      </c>
    </row>
    <row r="105" ht="15.75" customHeight="1">
      <c r="A105" s="19"/>
      <c r="B105" s="19"/>
      <c r="C105" s="19"/>
      <c r="D105" s="8" t="str">
        <f t="array" ref="D105">IF(C105="","",IFERROR(INDEX('Item Master'!$B:$B,MATCH(C105,'Item Master'!$A:$A,0)),""))</f>
        <v/>
      </c>
      <c r="E105" s="19"/>
      <c r="F105" s="19"/>
      <c r="G105" s="8" t="str">
        <f t="array" ref="G105">IF(F105="","",IFERROR(INDEX('Item Master'!$B:$B,MATCH(F105,'Item Master'!$A:$A,0)),""))</f>
        <v/>
      </c>
      <c r="H105" s="8">
        <f>IF(F105="",0,SUMIFS('BOM Master'!$F:$F,'BOM Master'!$A:$A,C105,'BOM Master'!$D:$D,F105))</f>
        <v>0</v>
      </c>
      <c r="I105" s="8">
        <f t="shared" si="1"/>
        <v>0</v>
      </c>
      <c r="J105" s="8">
        <f t="array" ref="J105">IF(F105="",0,IFERROR(INDEX('Item Master'!$G:$G,MATCH(F105,'Item Master'!$A:$A,0)),0))</f>
        <v>0</v>
      </c>
      <c r="K105" s="8">
        <f t="shared" si="2"/>
        <v>0</v>
      </c>
      <c r="L105" s="19"/>
      <c r="M105" s="8" t="str">
        <f t="shared" si="3"/>
        <v/>
      </c>
      <c r="N105" s="8" t="str">
        <f t="shared" si="4"/>
        <v/>
      </c>
      <c r="O105" s="8" t="str">
        <f t="shared" si="5"/>
        <v/>
      </c>
      <c r="P105" s="8" t="str">
        <f t="shared" si="6"/>
        <v/>
      </c>
    </row>
    <row r="106" ht="15.75" customHeight="1">
      <c r="A106" s="19"/>
      <c r="B106" s="19"/>
      <c r="C106" s="19"/>
      <c r="D106" s="8" t="str">
        <f t="array" ref="D106">IF(C106="","",IFERROR(INDEX('Item Master'!$B:$B,MATCH(C106,'Item Master'!$A:$A,0)),""))</f>
        <v/>
      </c>
      <c r="E106" s="19"/>
      <c r="F106" s="19"/>
      <c r="G106" s="8" t="str">
        <f t="array" ref="G106">IF(F106="","",IFERROR(INDEX('Item Master'!$B:$B,MATCH(F106,'Item Master'!$A:$A,0)),""))</f>
        <v/>
      </c>
      <c r="H106" s="8">
        <f>IF(F106="",0,SUMIFS('BOM Master'!$F:$F,'BOM Master'!$A:$A,C106,'BOM Master'!$D:$D,F106))</f>
        <v>0</v>
      </c>
      <c r="I106" s="8">
        <f t="shared" si="1"/>
        <v>0</v>
      </c>
      <c r="J106" s="8">
        <f t="array" ref="J106">IF(F106="",0,IFERROR(INDEX('Item Master'!$G:$G,MATCH(F106,'Item Master'!$A:$A,0)),0))</f>
        <v>0</v>
      </c>
      <c r="K106" s="8">
        <f t="shared" si="2"/>
        <v>0</v>
      </c>
      <c r="L106" s="19"/>
      <c r="M106" s="8" t="str">
        <f t="shared" si="3"/>
        <v/>
      </c>
      <c r="N106" s="8" t="str">
        <f t="shared" si="4"/>
        <v/>
      </c>
      <c r="O106" s="8" t="str">
        <f t="shared" si="5"/>
        <v/>
      </c>
      <c r="P106" s="8" t="str">
        <f t="shared" si="6"/>
        <v/>
      </c>
    </row>
    <row r="107" ht="15.75" customHeight="1">
      <c r="A107" s="19"/>
      <c r="B107" s="19"/>
      <c r="C107" s="19"/>
      <c r="D107" s="8" t="str">
        <f t="array" ref="D107">IF(C107="","",IFERROR(INDEX('Item Master'!$B:$B,MATCH(C107,'Item Master'!$A:$A,0)),""))</f>
        <v/>
      </c>
      <c r="E107" s="19"/>
      <c r="F107" s="19"/>
      <c r="G107" s="8" t="str">
        <f t="array" ref="G107">IF(F107="","",IFERROR(INDEX('Item Master'!$B:$B,MATCH(F107,'Item Master'!$A:$A,0)),""))</f>
        <v/>
      </c>
      <c r="H107" s="8">
        <f>IF(F107="",0,SUMIFS('BOM Master'!$F:$F,'BOM Master'!$A:$A,C107,'BOM Master'!$D:$D,F107))</f>
        <v>0</v>
      </c>
      <c r="I107" s="8">
        <f t="shared" si="1"/>
        <v>0</v>
      </c>
      <c r="J107" s="8">
        <f t="array" ref="J107">IF(F107="",0,IFERROR(INDEX('Item Master'!$G:$G,MATCH(F107,'Item Master'!$A:$A,0)),0))</f>
        <v>0</v>
      </c>
      <c r="K107" s="8">
        <f t="shared" si="2"/>
        <v>0</v>
      </c>
      <c r="L107" s="19"/>
      <c r="M107" s="8" t="str">
        <f t="shared" si="3"/>
        <v/>
      </c>
      <c r="N107" s="8" t="str">
        <f t="shared" si="4"/>
        <v/>
      </c>
      <c r="O107" s="8" t="str">
        <f t="shared" si="5"/>
        <v/>
      </c>
      <c r="P107" s="8" t="str">
        <f t="shared" si="6"/>
        <v/>
      </c>
    </row>
    <row r="108" ht="15.75" customHeight="1">
      <c r="A108" s="19"/>
      <c r="B108" s="19"/>
      <c r="C108" s="19"/>
      <c r="D108" s="8" t="str">
        <f t="array" ref="D108">IF(C108="","",IFERROR(INDEX('Item Master'!$B:$B,MATCH(C108,'Item Master'!$A:$A,0)),""))</f>
        <v/>
      </c>
      <c r="E108" s="19"/>
      <c r="F108" s="19"/>
      <c r="G108" s="8" t="str">
        <f t="array" ref="G108">IF(F108="","",IFERROR(INDEX('Item Master'!$B:$B,MATCH(F108,'Item Master'!$A:$A,0)),""))</f>
        <v/>
      </c>
      <c r="H108" s="8">
        <f>IF(F108="",0,SUMIFS('BOM Master'!$F:$F,'BOM Master'!$A:$A,C108,'BOM Master'!$D:$D,F108))</f>
        <v>0</v>
      </c>
      <c r="I108" s="8">
        <f t="shared" si="1"/>
        <v>0</v>
      </c>
      <c r="J108" s="8">
        <f t="array" ref="J108">IF(F108="",0,IFERROR(INDEX('Item Master'!$G:$G,MATCH(F108,'Item Master'!$A:$A,0)),0))</f>
        <v>0</v>
      </c>
      <c r="K108" s="8">
        <f t="shared" si="2"/>
        <v>0</v>
      </c>
      <c r="L108" s="19"/>
      <c r="M108" s="8" t="str">
        <f t="shared" si="3"/>
        <v/>
      </c>
      <c r="N108" s="8" t="str">
        <f t="shared" si="4"/>
        <v/>
      </c>
      <c r="O108" s="8" t="str">
        <f t="shared" si="5"/>
        <v/>
      </c>
      <c r="P108" s="8" t="str">
        <f t="shared" si="6"/>
        <v/>
      </c>
    </row>
    <row r="109" ht="15.75" customHeight="1">
      <c r="A109" s="19"/>
      <c r="B109" s="19"/>
      <c r="C109" s="19"/>
      <c r="D109" s="8" t="str">
        <f t="array" ref="D109">IF(C109="","",IFERROR(INDEX('Item Master'!$B:$B,MATCH(C109,'Item Master'!$A:$A,0)),""))</f>
        <v/>
      </c>
      <c r="E109" s="19"/>
      <c r="F109" s="19"/>
      <c r="G109" s="8" t="str">
        <f t="array" ref="G109">IF(F109="","",IFERROR(INDEX('Item Master'!$B:$B,MATCH(F109,'Item Master'!$A:$A,0)),""))</f>
        <v/>
      </c>
      <c r="H109" s="8">
        <f>IF(F109="",0,SUMIFS('BOM Master'!$F:$F,'BOM Master'!$A:$A,C109,'BOM Master'!$D:$D,F109))</f>
        <v>0</v>
      </c>
      <c r="I109" s="8">
        <f t="shared" si="1"/>
        <v>0</v>
      </c>
      <c r="J109" s="8">
        <f t="array" ref="J109">IF(F109="",0,IFERROR(INDEX('Item Master'!$G:$G,MATCH(F109,'Item Master'!$A:$A,0)),0))</f>
        <v>0</v>
      </c>
      <c r="K109" s="8">
        <f t="shared" si="2"/>
        <v>0</v>
      </c>
      <c r="L109" s="19"/>
      <c r="M109" s="8" t="str">
        <f t="shared" si="3"/>
        <v/>
      </c>
      <c r="N109" s="8" t="str">
        <f t="shared" si="4"/>
        <v/>
      </c>
      <c r="O109" s="8" t="str">
        <f t="shared" si="5"/>
        <v/>
      </c>
      <c r="P109" s="8" t="str">
        <f t="shared" si="6"/>
        <v/>
      </c>
    </row>
    <row r="110" ht="15.75" customHeight="1">
      <c r="A110" s="19"/>
      <c r="B110" s="19"/>
      <c r="C110" s="19"/>
      <c r="D110" s="8" t="str">
        <f t="array" ref="D110">IF(C110="","",IFERROR(INDEX('Item Master'!$B:$B,MATCH(C110,'Item Master'!$A:$A,0)),""))</f>
        <v/>
      </c>
      <c r="E110" s="19"/>
      <c r="F110" s="19"/>
      <c r="G110" s="8" t="str">
        <f t="array" ref="G110">IF(F110="","",IFERROR(INDEX('Item Master'!$B:$B,MATCH(F110,'Item Master'!$A:$A,0)),""))</f>
        <v/>
      </c>
      <c r="H110" s="8">
        <f>IF(F110="",0,SUMIFS('BOM Master'!$F:$F,'BOM Master'!$A:$A,C110,'BOM Master'!$D:$D,F110))</f>
        <v>0</v>
      </c>
      <c r="I110" s="8">
        <f t="shared" si="1"/>
        <v>0</v>
      </c>
      <c r="J110" s="8">
        <f t="array" ref="J110">IF(F110="",0,IFERROR(INDEX('Item Master'!$G:$G,MATCH(F110,'Item Master'!$A:$A,0)),0))</f>
        <v>0</v>
      </c>
      <c r="K110" s="8">
        <f t="shared" si="2"/>
        <v>0</v>
      </c>
      <c r="L110" s="19"/>
      <c r="M110" s="8" t="str">
        <f t="shared" si="3"/>
        <v/>
      </c>
      <c r="N110" s="8" t="str">
        <f t="shared" si="4"/>
        <v/>
      </c>
      <c r="O110" s="8" t="str">
        <f t="shared" si="5"/>
        <v/>
      </c>
      <c r="P110" s="8" t="str">
        <f t="shared" si="6"/>
        <v/>
      </c>
    </row>
    <row r="111" ht="15.75" customHeight="1">
      <c r="A111" s="19"/>
      <c r="B111" s="19"/>
      <c r="C111" s="19"/>
      <c r="D111" s="8" t="str">
        <f t="array" ref="D111">IF(C111="","",IFERROR(INDEX('Item Master'!$B:$B,MATCH(C111,'Item Master'!$A:$A,0)),""))</f>
        <v/>
      </c>
      <c r="E111" s="19"/>
      <c r="F111" s="19"/>
      <c r="G111" s="8" t="str">
        <f t="array" ref="G111">IF(F111="","",IFERROR(INDEX('Item Master'!$B:$B,MATCH(F111,'Item Master'!$A:$A,0)),""))</f>
        <v/>
      </c>
      <c r="H111" s="8">
        <f>IF(F111="",0,SUMIFS('BOM Master'!$F:$F,'BOM Master'!$A:$A,C111,'BOM Master'!$D:$D,F111))</f>
        <v>0</v>
      </c>
      <c r="I111" s="8">
        <f t="shared" si="1"/>
        <v>0</v>
      </c>
      <c r="J111" s="8">
        <f t="array" ref="J111">IF(F111="",0,IFERROR(INDEX('Item Master'!$G:$G,MATCH(F111,'Item Master'!$A:$A,0)),0))</f>
        <v>0</v>
      </c>
      <c r="K111" s="8">
        <f t="shared" si="2"/>
        <v>0</v>
      </c>
      <c r="L111" s="19"/>
      <c r="M111" s="8" t="str">
        <f t="shared" si="3"/>
        <v/>
      </c>
      <c r="N111" s="8" t="str">
        <f t="shared" si="4"/>
        <v/>
      </c>
      <c r="O111" s="8" t="str">
        <f t="shared" si="5"/>
        <v/>
      </c>
      <c r="P111" s="8" t="str">
        <f t="shared" si="6"/>
        <v/>
      </c>
    </row>
    <row r="112" ht="15.75" customHeight="1">
      <c r="A112" s="19"/>
      <c r="B112" s="19"/>
      <c r="C112" s="19"/>
      <c r="D112" s="8" t="str">
        <f t="array" ref="D112">IF(C112="","",IFERROR(INDEX('Item Master'!$B:$B,MATCH(C112,'Item Master'!$A:$A,0)),""))</f>
        <v/>
      </c>
      <c r="E112" s="19"/>
      <c r="F112" s="19"/>
      <c r="G112" s="8" t="str">
        <f t="array" ref="G112">IF(F112="","",IFERROR(INDEX('Item Master'!$B:$B,MATCH(F112,'Item Master'!$A:$A,0)),""))</f>
        <v/>
      </c>
      <c r="H112" s="8">
        <f>IF(F112="",0,SUMIFS('BOM Master'!$F:$F,'BOM Master'!$A:$A,C112,'BOM Master'!$D:$D,F112))</f>
        <v>0</v>
      </c>
      <c r="I112" s="8">
        <f t="shared" si="1"/>
        <v>0</v>
      </c>
      <c r="J112" s="8">
        <f t="array" ref="J112">IF(F112="",0,IFERROR(INDEX('Item Master'!$G:$G,MATCH(F112,'Item Master'!$A:$A,0)),0))</f>
        <v>0</v>
      </c>
      <c r="K112" s="8">
        <f t="shared" si="2"/>
        <v>0</v>
      </c>
      <c r="L112" s="19"/>
      <c r="M112" s="8" t="str">
        <f t="shared" si="3"/>
        <v/>
      </c>
      <c r="N112" s="8" t="str">
        <f t="shared" si="4"/>
        <v/>
      </c>
      <c r="O112" s="8" t="str">
        <f t="shared" si="5"/>
        <v/>
      </c>
      <c r="P112" s="8" t="str">
        <f t="shared" si="6"/>
        <v/>
      </c>
    </row>
    <row r="113" ht="15.75" customHeight="1">
      <c r="A113" s="19"/>
      <c r="B113" s="19"/>
      <c r="C113" s="19"/>
      <c r="D113" s="8" t="str">
        <f t="array" ref="D113">IF(C113="","",IFERROR(INDEX('Item Master'!$B:$B,MATCH(C113,'Item Master'!$A:$A,0)),""))</f>
        <v/>
      </c>
      <c r="E113" s="19"/>
      <c r="F113" s="19"/>
      <c r="G113" s="8" t="str">
        <f t="array" ref="G113">IF(F113="","",IFERROR(INDEX('Item Master'!$B:$B,MATCH(F113,'Item Master'!$A:$A,0)),""))</f>
        <v/>
      </c>
      <c r="H113" s="8">
        <f>IF(F113="",0,SUMIFS('BOM Master'!$F:$F,'BOM Master'!$A:$A,C113,'BOM Master'!$D:$D,F113))</f>
        <v>0</v>
      </c>
      <c r="I113" s="8">
        <f t="shared" si="1"/>
        <v>0</v>
      </c>
      <c r="J113" s="8">
        <f t="array" ref="J113">IF(F113="",0,IFERROR(INDEX('Item Master'!$G:$G,MATCH(F113,'Item Master'!$A:$A,0)),0))</f>
        <v>0</v>
      </c>
      <c r="K113" s="8">
        <f t="shared" si="2"/>
        <v>0</v>
      </c>
      <c r="L113" s="19"/>
      <c r="M113" s="8" t="str">
        <f t="shared" si="3"/>
        <v/>
      </c>
      <c r="N113" s="8" t="str">
        <f t="shared" si="4"/>
        <v/>
      </c>
      <c r="O113" s="8" t="str">
        <f t="shared" si="5"/>
        <v/>
      </c>
      <c r="P113" s="8" t="str">
        <f t="shared" si="6"/>
        <v/>
      </c>
    </row>
    <row r="114" ht="15.75" customHeight="1">
      <c r="A114" s="19"/>
      <c r="B114" s="19"/>
      <c r="C114" s="19"/>
      <c r="D114" s="8" t="str">
        <f t="array" ref="D114">IF(C114="","",IFERROR(INDEX('Item Master'!$B:$B,MATCH(C114,'Item Master'!$A:$A,0)),""))</f>
        <v/>
      </c>
      <c r="E114" s="19"/>
      <c r="F114" s="19"/>
      <c r="G114" s="8" t="str">
        <f t="array" ref="G114">IF(F114="","",IFERROR(INDEX('Item Master'!$B:$B,MATCH(F114,'Item Master'!$A:$A,0)),""))</f>
        <v/>
      </c>
      <c r="H114" s="8">
        <f>IF(F114="",0,SUMIFS('BOM Master'!$F:$F,'BOM Master'!$A:$A,C114,'BOM Master'!$D:$D,F114))</f>
        <v>0</v>
      </c>
      <c r="I114" s="8">
        <f t="shared" si="1"/>
        <v>0</v>
      </c>
      <c r="J114" s="8">
        <f t="array" ref="J114">IF(F114="",0,IFERROR(INDEX('Item Master'!$G:$G,MATCH(F114,'Item Master'!$A:$A,0)),0))</f>
        <v>0</v>
      </c>
      <c r="K114" s="8">
        <f t="shared" si="2"/>
        <v>0</v>
      </c>
      <c r="L114" s="19"/>
      <c r="M114" s="8" t="str">
        <f t="shared" si="3"/>
        <v/>
      </c>
      <c r="N114" s="8" t="str">
        <f t="shared" si="4"/>
        <v/>
      </c>
      <c r="O114" s="8" t="str">
        <f t="shared" si="5"/>
        <v/>
      </c>
      <c r="P114" s="8" t="str">
        <f t="shared" si="6"/>
        <v/>
      </c>
    </row>
    <row r="115" ht="15.75" customHeight="1">
      <c r="A115" s="19"/>
      <c r="B115" s="19"/>
      <c r="C115" s="19"/>
      <c r="D115" s="8" t="str">
        <f t="array" ref="D115">IF(C115="","",IFERROR(INDEX('Item Master'!$B:$B,MATCH(C115,'Item Master'!$A:$A,0)),""))</f>
        <v/>
      </c>
      <c r="E115" s="19"/>
      <c r="F115" s="19"/>
      <c r="G115" s="8" t="str">
        <f t="array" ref="G115">IF(F115="","",IFERROR(INDEX('Item Master'!$B:$B,MATCH(F115,'Item Master'!$A:$A,0)),""))</f>
        <v/>
      </c>
      <c r="H115" s="8">
        <f>IF(F115="",0,SUMIFS('BOM Master'!$F:$F,'BOM Master'!$A:$A,C115,'BOM Master'!$D:$D,F115))</f>
        <v>0</v>
      </c>
      <c r="I115" s="8">
        <f t="shared" si="1"/>
        <v>0</v>
      </c>
      <c r="J115" s="8">
        <f t="array" ref="J115">IF(F115="",0,IFERROR(INDEX('Item Master'!$G:$G,MATCH(F115,'Item Master'!$A:$A,0)),0))</f>
        <v>0</v>
      </c>
      <c r="K115" s="8">
        <f t="shared" si="2"/>
        <v>0</v>
      </c>
      <c r="L115" s="19"/>
      <c r="M115" s="8" t="str">
        <f t="shared" si="3"/>
        <v/>
      </c>
      <c r="N115" s="8" t="str">
        <f t="shared" si="4"/>
        <v/>
      </c>
      <c r="O115" s="8" t="str">
        <f t="shared" si="5"/>
        <v/>
      </c>
      <c r="P115" s="8" t="str">
        <f t="shared" si="6"/>
        <v/>
      </c>
    </row>
    <row r="116" ht="15.75" customHeight="1">
      <c r="A116" s="19"/>
      <c r="B116" s="19"/>
      <c r="C116" s="19"/>
      <c r="D116" s="8" t="str">
        <f t="array" ref="D116">IF(C116="","",IFERROR(INDEX('Item Master'!$B:$B,MATCH(C116,'Item Master'!$A:$A,0)),""))</f>
        <v/>
      </c>
      <c r="E116" s="19"/>
      <c r="F116" s="19"/>
      <c r="G116" s="8" t="str">
        <f t="array" ref="G116">IF(F116="","",IFERROR(INDEX('Item Master'!$B:$B,MATCH(F116,'Item Master'!$A:$A,0)),""))</f>
        <v/>
      </c>
      <c r="H116" s="8">
        <f>IF(F116="",0,SUMIFS('BOM Master'!$F:$F,'BOM Master'!$A:$A,C116,'BOM Master'!$D:$D,F116))</f>
        <v>0</v>
      </c>
      <c r="I116" s="8">
        <f t="shared" si="1"/>
        <v>0</v>
      </c>
      <c r="J116" s="8">
        <f t="array" ref="J116">IF(F116="",0,IFERROR(INDEX('Item Master'!$G:$G,MATCH(F116,'Item Master'!$A:$A,0)),0))</f>
        <v>0</v>
      </c>
      <c r="K116" s="8">
        <f t="shared" si="2"/>
        <v>0</v>
      </c>
      <c r="L116" s="19"/>
      <c r="M116" s="8" t="str">
        <f t="shared" si="3"/>
        <v/>
      </c>
      <c r="N116" s="8" t="str">
        <f t="shared" si="4"/>
        <v/>
      </c>
      <c r="O116" s="8" t="str">
        <f t="shared" si="5"/>
        <v/>
      </c>
      <c r="P116" s="8" t="str">
        <f t="shared" si="6"/>
        <v/>
      </c>
    </row>
    <row r="117" ht="15.75" customHeight="1">
      <c r="A117" s="19"/>
      <c r="B117" s="19"/>
      <c r="C117" s="19"/>
      <c r="D117" s="8" t="str">
        <f t="array" ref="D117">IF(C117="","",IFERROR(INDEX('Item Master'!$B:$B,MATCH(C117,'Item Master'!$A:$A,0)),""))</f>
        <v/>
      </c>
      <c r="E117" s="19"/>
      <c r="F117" s="19"/>
      <c r="G117" s="8" t="str">
        <f t="array" ref="G117">IF(F117="","",IFERROR(INDEX('Item Master'!$B:$B,MATCH(F117,'Item Master'!$A:$A,0)),""))</f>
        <v/>
      </c>
      <c r="H117" s="8">
        <f>IF(F117="",0,SUMIFS('BOM Master'!$F:$F,'BOM Master'!$A:$A,C117,'BOM Master'!$D:$D,F117))</f>
        <v>0</v>
      </c>
      <c r="I117" s="8">
        <f t="shared" si="1"/>
        <v>0</v>
      </c>
      <c r="J117" s="8">
        <f t="array" ref="J117">IF(F117="",0,IFERROR(INDEX('Item Master'!$G:$G,MATCH(F117,'Item Master'!$A:$A,0)),0))</f>
        <v>0</v>
      </c>
      <c r="K117" s="8">
        <f t="shared" si="2"/>
        <v>0</v>
      </c>
      <c r="L117" s="19"/>
      <c r="M117" s="8" t="str">
        <f t="shared" si="3"/>
        <v/>
      </c>
      <c r="N117" s="8" t="str">
        <f t="shared" si="4"/>
        <v/>
      </c>
      <c r="O117" s="8" t="str">
        <f t="shared" si="5"/>
        <v/>
      </c>
      <c r="P117" s="8" t="str">
        <f t="shared" si="6"/>
        <v/>
      </c>
    </row>
    <row r="118" ht="15.75" customHeight="1">
      <c r="A118" s="19"/>
      <c r="B118" s="19"/>
      <c r="C118" s="19"/>
      <c r="D118" s="8" t="str">
        <f t="array" ref="D118">IF(C118="","",IFERROR(INDEX('Item Master'!$B:$B,MATCH(C118,'Item Master'!$A:$A,0)),""))</f>
        <v/>
      </c>
      <c r="E118" s="19"/>
      <c r="F118" s="19"/>
      <c r="G118" s="8" t="str">
        <f t="array" ref="G118">IF(F118="","",IFERROR(INDEX('Item Master'!$B:$B,MATCH(F118,'Item Master'!$A:$A,0)),""))</f>
        <v/>
      </c>
      <c r="H118" s="8">
        <f>IF(F118="",0,SUMIFS('BOM Master'!$F:$F,'BOM Master'!$A:$A,C118,'BOM Master'!$D:$D,F118))</f>
        <v>0</v>
      </c>
      <c r="I118" s="8">
        <f t="shared" si="1"/>
        <v>0</v>
      </c>
      <c r="J118" s="8">
        <f t="array" ref="J118">IF(F118="",0,IFERROR(INDEX('Item Master'!$G:$G,MATCH(F118,'Item Master'!$A:$A,0)),0))</f>
        <v>0</v>
      </c>
      <c r="K118" s="8">
        <f t="shared" si="2"/>
        <v>0</v>
      </c>
      <c r="L118" s="19"/>
      <c r="M118" s="8" t="str">
        <f t="shared" si="3"/>
        <v/>
      </c>
      <c r="N118" s="8" t="str">
        <f t="shared" si="4"/>
        <v/>
      </c>
      <c r="O118" s="8" t="str">
        <f t="shared" si="5"/>
        <v/>
      </c>
      <c r="P118" s="8" t="str">
        <f t="shared" si="6"/>
        <v/>
      </c>
    </row>
    <row r="119" ht="15.75" customHeight="1">
      <c r="A119" s="19"/>
      <c r="B119" s="19"/>
      <c r="C119" s="19"/>
      <c r="D119" s="8" t="str">
        <f t="array" ref="D119">IF(C119="","",IFERROR(INDEX('Item Master'!$B:$B,MATCH(C119,'Item Master'!$A:$A,0)),""))</f>
        <v/>
      </c>
      <c r="E119" s="19"/>
      <c r="F119" s="19"/>
      <c r="G119" s="8" t="str">
        <f t="array" ref="G119">IF(F119="","",IFERROR(INDEX('Item Master'!$B:$B,MATCH(F119,'Item Master'!$A:$A,0)),""))</f>
        <v/>
      </c>
      <c r="H119" s="8">
        <f>IF(F119="",0,SUMIFS('BOM Master'!$F:$F,'BOM Master'!$A:$A,C119,'BOM Master'!$D:$D,F119))</f>
        <v>0</v>
      </c>
      <c r="I119" s="8">
        <f t="shared" si="1"/>
        <v>0</v>
      </c>
      <c r="J119" s="8">
        <f t="array" ref="J119">IF(F119="",0,IFERROR(INDEX('Item Master'!$G:$G,MATCH(F119,'Item Master'!$A:$A,0)),0))</f>
        <v>0</v>
      </c>
      <c r="K119" s="8">
        <f t="shared" si="2"/>
        <v>0</v>
      </c>
      <c r="L119" s="19"/>
      <c r="M119" s="8" t="str">
        <f t="shared" si="3"/>
        <v/>
      </c>
      <c r="N119" s="8" t="str">
        <f t="shared" si="4"/>
        <v/>
      </c>
      <c r="O119" s="8" t="str">
        <f t="shared" si="5"/>
        <v/>
      </c>
      <c r="P119" s="8" t="str">
        <f t="shared" si="6"/>
        <v/>
      </c>
    </row>
    <row r="120" ht="15.75" customHeight="1">
      <c r="A120" s="19"/>
      <c r="B120" s="19"/>
      <c r="C120" s="19"/>
      <c r="D120" s="8" t="str">
        <f t="array" ref="D120">IF(C120="","",IFERROR(INDEX('Item Master'!$B:$B,MATCH(C120,'Item Master'!$A:$A,0)),""))</f>
        <v/>
      </c>
      <c r="E120" s="19"/>
      <c r="F120" s="19"/>
      <c r="G120" s="8" t="str">
        <f t="array" ref="G120">IF(F120="","",IFERROR(INDEX('Item Master'!$B:$B,MATCH(F120,'Item Master'!$A:$A,0)),""))</f>
        <v/>
      </c>
      <c r="H120" s="8">
        <f>IF(F120="",0,SUMIFS('BOM Master'!$F:$F,'BOM Master'!$A:$A,C120,'BOM Master'!$D:$D,F120))</f>
        <v>0</v>
      </c>
      <c r="I120" s="8">
        <f t="shared" si="1"/>
        <v>0</v>
      </c>
      <c r="J120" s="8">
        <f t="array" ref="J120">IF(F120="",0,IFERROR(INDEX('Item Master'!$G:$G,MATCH(F120,'Item Master'!$A:$A,0)),0))</f>
        <v>0</v>
      </c>
      <c r="K120" s="8">
        <f t="shared" si="2"/>
        <v>0</v>
      </c>
      <c r="L120" s="19"/>
      <c r="M120" s="8" t="str">
        <f t="shared" si="3"/>
        <v/>
      </c>
      <c r="N120" s="8" t="str">
        <f t="shared" si="4"/>
        <v/>
      </c>
      <c r="O120" s="8" t="str">
        <f t="shared" si="5"/>
        <v/>
      </c>
      <c r="P120" s="8" t="str">
        <f t="shared" si="6"/>
        <v/>
      </c>
    </row>
    <row r="121" ht="15.75" customHeight="1">
      <c r="A121" s="19"/>
      <c r="B121" s="19"/>
      <c r="C121" s="19"/>
      <c r="D121" s="8" t="str">
        <f t="array" ref="D121">IF(C121="","",IFERROR(INDEX('Item Master'!$B:$B,MATCH(C121,'Item Master'!$A:$A,0)),""))</f>
        <v/>
      </c>
      <c r="E121" s="19"/>
      <c r="F121" s="19"/>
      <c r="G121" s="8" t="str">
        <f t="array" ref="G121">IF(F121="","",IFERROR(INDEX('Item Master'!$B:$B,MATCH(F121,'Item Master'!$A:$A,0)),""))</f>
        <v/>
      </c>
      <c r="H121" s="8">
        <f>IF(F121="",0,SUMIFS('BOM Master'!$F:$F,'BOM Master'!$A:$A,C121,'BOM Master'!$D:$D,F121))</f>
        <v>0</v>
      </c>
      <c r="I121" s="8">
        <f t="shared" si="1"/>
        <v>0</v>
      </c>
      <c r="J121" s="8">
        <f t="array" ref="J121">IF(F121="",0,IFERROR(INDEX('Item Master'!$G:$G,MATCH(F121,'Item Master'!$A:$A,0)),0))</f>
        <v>0</v>
      </c>
      <c r="K121" s="8">
        <f t="shared" si="2"/>
        <v>0</v>
      </c>
      <c r="L121" s="19"/>
      <c r="M121" s="8" t="str">
        <f t="shared" si="3"/>
        <v/>
      </c>
      <c r="N121" s="8" t="str">
        <f t="shared" si="4"/>
        <v/>
      </c>
      <c r="O121" s="8" t="str">
        <f t="shared" si="5"/>
        <v/>
      </c>
      <c r="P121" s="8" t="str">
        <f t="shared" si="6"/>
        <v/>
      </c>
    </row>
    <row r="122" ht="15.75" customHeight="1">
      <c r="A122" s="19"/>
      <c r="B122" s="19"/>
      <c r="C122" s="19"/>
      <c r="D122" s="8" t="str">
        <f t="array" ref="D122">IF(C122="","",IFERROR(INDEX('Item Master'!$B:$B,MATCH(C122,'Item Master'!$A:$A,0)),""))</f>
        <v/>
      </c>
      <c r="E122" s="19"/>
      <c r="F122" s="19"/>
      <c r="G122" s="8" t="str">
        <f t="array" ref="G122">IF(F122="","",IFERROR(INDEX('Item Master'!$B:$B,MATCH(F122,'Item Master'!$A:$A,0)),""))</f>
        <v/>
      </c>
      <c r="H122" s="8">
        <f>IF(F122="",0,SUMIFS('BOM Master'!$F:$F,'BOM Master'!$A:$A,C122,'BOM Master'!$D:$D,F122))</f>
        <v>0</v>
      </c>
      <c r="I122" s="8">
        <f t="shared" si="1"/>
        <v>0</v>
      </c>
      <c r="J122" s="8">
        <f t="array" ref="J122">IF(F122="",0,IFERROR(INDEX('Item Master'!$G:$G,MATCH(F122,'Item Master'!$A:$A,0)),0))</f>
        <v>0</v>
      </c>
      <c r="K122" s="8">
        <f t="shared" si="2"/>
        <v>0</v>
      </c>
      <c r="L122" s="19"/>
      <c r="M122" s="8" t="str">
        <f t="shared" si="3"/>
        <v/>
      </c>
      <c r="N122" s="8" t="str">
        <f t="shared" si="4"/>
        <v/>
      </c>
      <c r="O122" s="8" t="str">
        <f t="shared" si="5"/>
        <v/>
      </c>
      <c r="P122" s="8" t="str">
        <f t="shared" si="6"/>
        <v/>
      </c>
    </row>
    <row r="123" ht="15.75" customHeight="1">
      <c r="A123" s="19"/>
      <c r="B123" s="19"/>
      <c r="C123" s="19"/>
      <c r="D123" s="8" t="str">
        <f t="array" ref="D123">IF(C123="","",IFERROR(INDEX('Item Master'!$B:$B,MATCH(C123,'Item Master'!$A:$A,0)),""))</f>
        <v/>
      </c>
      <c r="E123" s="19"/>
      <c r="F123" s="19"/>
      <c r="G123" s="8" t="str">
        <f t="array" ref="G123">IF(F123="","",IFERROR(INDEX('Item Master'!$B:$B,MATCH(F123,'Item Master'!$A:$A,0)),""))</f>
        <v/>
      </c>
      <c r="H123" s="8">
        <f>IF(F123="",0,SUMIFS('BOM Master'!$F:$F,'BOM Master'!$A:$A,C123,'BOM Master'!$D:$D,F123))</f>
        <v>0</v>
      </c>
      <c r="I123" s="8">
        <f t="shared" si="1"/>
        <v>0</v>
      </c>
      <c r="J123" s="8">
        <f t="array" ref="J123">IF(F123="",0,IFERROR(INDEX('Item Master'!$G:$G,MATCH(F123,'Item Master'!$A:$A,0)),0))</f>
        <v>0</v>
      </c>
      <c r="K123" s="8">
        <f t="shared" si="2"/>
        <v>0</v>
      </c>
      <c r="L123" s="19"/>
      <c r="M123" s="8" t="str">
        <f t="shared" si="3"/>
        <v/>
      </c>
      <c r="N123" s="8" t="str">
        <f t="shared" si="4"/>
        <v/>
      </c>
      <c r="O123" s="8" t="str">
        <f t="shared" si="5"/>
        <v/>
      </c>
      <c r="P123" s="8" t="str">
        <f t="shared" si="6"/>
        <v/>
      </c>
    </row>
    <row r="124" ht="15.75" customHeight="1">
      <c r="A124" s="19"/>
      <c r="B124" s="19"/>
      <c r="C124" s="19"/>
      <c r="D124" s="8" t="str">
        <f t="array" ref="D124">IF(C124="","",IFERROR(INDEX('Item Master'!$B:$B,MATCH(C124,'Item Master'!$A:$A,0)),""))</f>
        <v/>
      </c>
      <c r="E124" s="19"/>
      <c r="F124" s="19"/>
      <c r="G124" s="8" t="str">
        <f t="array" ref="G124">IF(F124="","",IFERROR(INDEX('Item Master'!$B:$B,MATCH(F124,'Item Master'!$A:$A,0)),""))</f>
        <v/>
      </c>
      <c r="H124" s="8">
        <f>IF(F124="",0,SUMIFS('BOM Master'!$F:$F,'BOM Master'!$A:$A,C124,'BOM Master'!$D:$D,F124))</f>
        <v>0</v>
      </c>
      <c r="I124" s="8">
        <f t="shared" si="1"/>
        <v>0</v>
      </c>
      <c r="J124" s="8">
        <f t="array" ref="J124">IF(F124="",0,IFERROR(INDEX('Item Master'!$G:$G,MATCH(F124,'Item Master'!$A:$A,0)),0))</f>
        <v>0</v>
      </c>
      <c r="K124" s="8">
        <f t="shared" si="2"/>
        <v>0</v>
      </c>
      <c r="L124" s="19"/>
      <c r="M124" s="8" t="str">
        <f t="shared" si="3"/>
        <v/>
      </c>
      <c r="N124" s="8" t="str">
        <f t="shared" si="4"/>
        <v/>
      </c>
      <c r="O124" s="8" t="str">
        <f t="shared" si="5"/>
        <v/>
      </c>
      <c r="P124" s="8" t="str">
        <f t="shared" si="6"/>
        <v/>
      </c>
    </row>
    <row r="125" ht="15.75" customHeight="1">
      <c r="A125" s="19"/>
      <c r="B125" s="19"/>
      <c r="C125" s="19"/>
      <c r="D125" s="8" t="str">
        <f t="array" ref="D125">IF(C125="","",IFERROR(INDEX('Item Master'!$B:$B,MATCH(C125,'Item Master'!$A:$A,0)),""))</f>
        <v/>
      </c>
      <c r="E125" s="19"/>
      <c r="F125" s="19"/>
      <c r="G125" s="8" t="str">
        <f t="array" ref="G125">IF(F125="","",IFERROR(INDEX('Item Master'!$B:$B,MATCH(F125,'Item Master'!$A:$A,0)),""))</f>
        <v/>
      </c>
      <c r="H125" s="8">
        <f>IF(F125="",0,SUMIFS('BOM Master'!$F:$F,'BOM Master'!$A:$A,C125,'BOM Master'!$D:$D,F125))</f>
        <v>0</v>
      </c>
      <c r="I125" s="8">
        <f t="shared" si="1"/>
        <v>0</v>
      </c>
      <c r="J125" s="8">
        <f t="array" ref="J125">IF(F125="",0,IFERROR(INDEX('Item Master'!$G:$G,MATCH(F125,'Item Master'!$A:$A,0)),0))</f>
        <v>0</v>
      </c>
      <c r="K125" s="8">
        <f t="shared" si="2"/>
        <v>0</v>
      </c>
      <c r="L125" s="19"/>
      <c r="M125" s="8" t="str">
        <f t="shared" si="3"/>
        <v/>
      </c>
      <c r="N125" s="8" t="str">
        <f t="shared" si="4"/>
        <v/>
      </c>
      <c r="O125" s="8" t="str">
        <f t="shared" si="5"/>
        <v/>
      </c>
      <c r="P125" s="8" t="str">
        <f t="shared" si="6"/>
        <v/>
      </c>
    </row>
    <row r="126" ht="15.75" customHeight="1">
      <c r="A126" s="19"/>
      <c r="B126" s="19"/>
      <c r="C126" s="19"/>
      <c r="D126" s="8" t="str">
        <f t="array" ref="D126">IF(C126="","",IFERROR(INDEX('Item Master'!$B:$B,MATCH(C126,'Item Master'!$A:$A,0)),""))</f>
        <v/>
      </c>
      <c r="E126" s="19"/>
      <c r="F126" s="19"/>
      <c r="G126" s="8" t="str">
        <f t="array" ref="G126">IF(F126="","",IFERROR(INDEX('Item Master'!$B:$B,MATCH(F126,'Item Master'!$A:$A,0)),""))</f>
        <v/>
      </c>
      <c r="H126" s="8">
        <f>IF(F126="",0,SUMIFS('BOM Master'!$F:$F,'BOM Master'!$A:$A,C126,'BOM Master'!$D:$D,F126))</f>
        <v>0</v>
      </c>
      <c r="I126" s="8">
        <f t="shared" si="1"/>
        <v>0</v>
      </c>
      <c r="J126" s="8">
        <f t="array" ref="J126">IF(F126="",0,IFERROR(INDEX('Item Master'!$G:$G,MATCH(F126,'Item Master'!$A:$A,0)),0))</f>
        <v>0</v>
      </c>
      <c r="K126" s="8">
        <f t="shared" si="2"/>
        <v>0</v>
      </c>
      <c r="L126" s="19"/>
      <c r="M126" s="8" t="str">
        <f t="shared" si="3"/>
        <v/>
      </c>
      <c r="N126" s="8" t="str">
        <f t="shared" si="4"/>
        <v/>
      </c>
      <c r="O126" s="8" t="str">
        <f t="shared" si="5"/>
        <v/>
      </c>
      <c r="P126" s="8" t="str">
        <f t="shared" si="6"/>
        <v/>
      </c>
    </row>
    <row r="127" ht="15.75" customHeight="1">
      <c r="A127" s="19"/>
      <c r="B127" s="19"/>
      <c r="C127" s="19"/>
      <c r="D127" s="8" t="str">
        <f t="array" ref="D127">IF(C127="","",IFERROR(INDEX('Item Master'!$B:$B,MATCH(C127,'Item Master'!$A:$A,0)),""))</f>
        <v/>
      </c>
      <c r="E127" s="19"/>
      <c r="F127" s="19"/>
      <c r="G127" s="8" t="str">
        <f t="array" ref="G127">IF(F127="","",IFERROR(INDEX('Item Master'!$B:$B,MATCH(F127,'Item Master'!$A:$A,0)),""))</f>
        <v/>
      </c>
      <c r="H127" s="8">
        <f>IF(F127="",0,SUMIFS('BOM Master'!$F:$F,'BOM Master'!$A:$A,C127,'BOM Master'!$D:$D,F127))</f>
        <v>0</v>
      </c>
      <c r="I127" s="8">
        <f t="shared" si="1"/>
        <v>0</v>
      </c>
      <c r="J127" s="8">
        <f t="array" ref="J127">IF(F127="",0,IFERROR(INDEX('Item Master'!$G:$G,MATCH(F127,'Item Master'!$A:$A,0)),0))</f>
        <v>0</v>
      </c>
      <c r="K127" s="8">
        <f t="shared" si="2"/>
        <v>0</v>
      </c>
      <c r="L127" s="19"/>
      <c r="M127" s="8" t="str">
        <f t="shared" si="3"/>
        <v/>
      </c>
      <c r="N127" s="8" t="str">
        <f t="shared" si="4"/>
        <v/>
      </c>
      <c r="O127" s="8" t="str">
        <f t="shared" si="5"/>
        <v/>
      </c>
      <c r="P127" s="8" t="str">
        <f t="shared" si="6"/>
        <v/>
      </c>
    </row>
    <row r="128" ht="15.75" customHeight="1">
      <c r="A128" s="19"/>
      <c r="B128" s="19"/>
      <c r="C128" s="19"/>
      <c r="D128" s="8" t="str">
        <f t="array" ref="D128">IF(C128="","",IFERROR(INDEX('Item Master'!$B:$B,MATCH(C128,'Item Master'!$A:$A,0)),""))</f>
        <v/>
      </c>
      <c r="E128" s="19"/>
      <c r="F128" s="19"/>
      <c r="G128" s="8" t="str">
        <f t="array" ref="G128">IF(F128="","",IFERROR(INDEX('Item Master'!$B:$B,MATCH(F128,'Item Master'!$A:$A,0)),""))</f>
        <v/>
      </c>
      <c r="H128" s="8">
        <f>IF(F128="",0,SUMIFS('BOM Master'!$F:$F,'BOM Master'!$A:$A,C128,'BOM Master'!$D:$D,F128))</f>
        <v>0</v>
      </c>
      <c r="I128" s="8">
        <f t="shared" si="1"/>
        <v>0</v>
      </c>
      <c r="J128" s="8">
        <f t="array" ref="J128">IF(F128="",0,IFERROR(INDEX('Item Master'!$G:$G,MATCH(F128,'Item Master'!$A:$A,0)),0))</f>
        <v>0</v>
      </c>
      <c r="K128" s="8">
        <f t="shared" si="2"/>
        <v>0</v>
      </c>
      <c r="L128" s="19"/>
      <c r="M128" s="8" t="str">
        <f t="shared" si="3"/>
        <v/>
      </c>
      <c r="N128" s="8" t="str">
        <f t="shared" si="4"/>
        <v/>
      </c>
      <c r="O128" s="8" t="str">
        <f t="shared" si="5"/>
        <v/>
      </c>
      <c r="P128" s="8" t="str">
        <f t="shared" si="6"/>
        <v/>
      </c>
    </row>
    <row r="129" ht="15.75" customHeight="1">
      <c r="A129" s="19"/>
      <c r="B129" s="19"/>
      <c r="C129" s="19"/>
      <c r="D129" s="8" t="str">
        <f t="array" ref="D129">IF(C129="","",IFERROR(INDEX('Item Master'!$B:$B,MATCH(C129,'Item Master'!$A:$A,0)),""))</f>
        <v/>
      </c>
      <c r="E129" s="19"/>
      <c r="F129" s="19"/>
      <c r="G129" s="8" t="str">
        <f t="array" ref="G129">IF(F129="","",IFERROR(INDEX('Item Master'!$B:$B,MATCH(F129,'Item Master'!$A:$A,0)),""))</f>
        <v/>
      </c>
      <c r="H129" s="8">
        <f>IF(F129="",0,SUMIFS('BOM Master'!$F:$F,'BOM Master'!$A:$A,C129,'BOM Master'!$D:$D,F129))</f>
        <v>0</v>
      </c>
      <c r="I129" s="8">
        <f t="shared" si="1"/>
        <v>0</v>
      </c>
      <c r="J129" s="8">
        <f t="array" ref="J129">IF(F129="",0,IFERROR(INDEX('Item Master'!$G:$G,MATCH(F129,'Item Master'!$A:$A,0)),0))</f>
        <v>0</v>
      </c>
      <c r="K129" s="8">
        <f t="shared" si="2"/>
        <v>0</v>
      </c>
      <c r="L129" s="19"/>
      <c r="M129" s="8" t="str">
        <f t="shared" si="3"/>
        <v/>
      </c>
      <c r="N129" s="8" t="str">
        <f t="shared" si="4"/>
        <v/>
      </c>
      <c r="O129" s="8" t="str">
        <f t="shared" si="5"/>
        <v/>
      </c>
      <c r="P129" s="8" t="str">
        <f t="shared" si="6"/>
        <v/>
      </c>
    </row>
    <row r="130" ht="15.75" customHeight="1">
      <c r="A130" s="19"/>
      <c r="B130" s="19"/>
      <c r="C130" s="19"/>
      <c r="D130" s="8" t="str">
        <f t="array" ref="D130">IF(C130="","",IFERROR(INDEX('Item Master'!$B:$B,MATCH(C130,'Item Master'!$A:$A,0)),""))</f>
        <v/>
      </c>
      <c r="E130" s="19"/>
      <c r="F130" s="19"/>
      <c r="G130" s="8" t="str">
        <f t="array" ref="G130">IF(F130="","",IFERROR(INDEX('Item Master'!$B:$B,MATCH(F130,'Item Master'!$A:$A,0)),""))</f>
        <v/>
      </c>
      <c r="H130" s="8">
        <f>IF(F130="",0,SUMIFS('BOM Master'!$F:$F,'BOM Master'!$A:$A,C130,'BOM Master'!$D:$D,F130))</f>
        <v>0</v>
      </c>
      <c r="I130" s="8">
        <f t="shared" si="1"/>
        <v>0</v>
      </c>
      <c r="J130" s="8">
        <f t="array" ref="J130">IF(F130="",0,IFERROR(INDEX('Item Master'!$G:$G,MATCH(F130,'Item Master'!$A:$A,0)),0))</f>
        <v>0</v>
      </c>
      <c r="K130" s="8">
        <f t="shared" si="2"/>
        <v>0</v>
      </c>
      <c r="L130" s="19"/>
      <c r="M130" s="8" t="str">
        <f t="shared" si="3"/>
        <v/>
      </c>
      <c r="N130" s="8" t="str">
        <f t="shared" si="4"/>
        <v/>
      </c>
      <c r="O130" s="8" t="str">
        <f t="shared" si="5"/>
        <v/>
      </c>
      <c r="P130" s="8" t="str">
        <f t="shared" si="6"/>
        <v/>
      </c>
    </row>
    <row r="131" ht="15.75" customHeight="1">
      <c r="A131" s="19"/>
      <c r="B131" s="19"/>
      <c r="C131" s="19"/>
      <c r="D131" s="8" t="str">
        <f t="array" ref="D131">IF(C131="","",IFERROR(INDEX('Item Master'!$B:$B,MATCH(C131,'Item Master'!$A:$A,0)),""))</f>
        <v/>
      </c>
      <c r="E131" s="19"/>
      <c r="F131" s="19"/>
      <c r="G131" s="8" t="str">
        <f t="array" ref="G131">IF(F131="","",IFERROR(INDEX('Item Master'!$B:$B,MATCH(F131,'Item Master'!$A:$A,0)),""))</f>
        <v/>
      </c>
      <c r="H131" s="8">
        <f>IF(F131="",0,SUMIFS('BOM Master'!$F:$F,'BOM Master'!$A:$A,C131,'BOM Master'!$D:$D,F131))</f>
        <v>0</v>
      </c>
      <c r="I131" s="8">
        <f t="shared" si="1"/>
        <v>0</v>
      </c>
      <c r="J131" s="8">
        <f t="array" ref="J131">IF(F131="",0,IFERROR(INDEX('Item Master'!$G:$G,MATCH(F131,'Item Master'!$A:$A,0)),0))</f>
        <v>0</v>
      </c>
      <c r="K131" s="8">
        <f t="shared" si="2"/>
        <v>0</v>
      </c>
      <c r="L131" s="19"/>
      <c r="M131" s="8" t="str">
        <f t="shared" si="3"/>
        <v/>
      </c>
      <c r="N131" s="8" t="str">
        <f t="shared" si="4"/>
        <v/>
      </c>
      <c r="O131" s="8" t="str">
        <f t="shared" si="5"/>
        <v/>
      </c>
      <c r="P131" s="8" t="str">
        <f t="shared" si="6"/>
        <v/>
      </c>
    </row>
    <row r="132" ht="15.75" customHeight="1">
      <c r="A132" s="19"/>
      <c r="B132" s="19"/>
      <c r="C132" s="19"/>
      <c r="D132" s="8" t="str">
        <f t="array" ref="D132">IF(C132="","",IFERROR(INDEX('Item Master'!$B:$B,MATCH(C132,'Item Master'!$A:$A,0)),""))</f>
        <v/>
      </c>
      <c r="E132" s="19"/>
      <c r="F132" s="19"/>
      <c r="G132" s="8" t="str">
        <f t="array" ref="G132">IF(F132="","",IFERROR(INDEX('Item Master'!$B:$B,MATCH(F132,'Item Master'!$A:$A,0)),""))</f>
        <v/>
      </c>
      <c r="H132" s="8">
        <f>IF(F132="",0,SUMIFS('BOM Master'!$F:$F,'BOM Master'!$A:$A,C132,'BOM Master'!$D:$D,F132))</f>
        <v>0</v>
      </c>
      <c r="I132" s="8">
        <f t="shared" si="1"/>
        <v>0</v>
      </c>
      <c r="J132" s="8">
        <f t="array" ref="J132">IF(F132="",0,IFERROR(INDEX('Item Master'!$G:$G,MATCH(F132,'Item Master'!$A:$A,0)),0))</f>
        <v>0</v>
      </c>
      <c r="K132" s="8">
        <f t="shared" si="2"/>
        <v>0</v>
      </c>
      <c r="L132" s="19"/>
      <c r="M132" s="8" t="str">
        <f t="shared" si="3"/>
        <v/>
      </c>
      <c r="N132" s="8" t="str">
        <f t="shared" si="4"/>
        <v/>
      </c>
      <c r="O132" s="8" t="str">
        <f t="shared" si="5"/>
        <v/>
      </c>
      <c r="P132" s="8" t="str">
        <f t="shared" si="6"/>
        <v/>
      </c>
    </row>
    <row r="133" ht="15.75" customHeight="1">
      <c r="A133" s="19"/>
      <c r="B133" s="19"/>
      <c r="C133" s="19"/>
      <c r="D133" s="8" t="str">
        <f t="array" ref="D133">IF(C133="","",IFERROR(INDEX('Item Master'!$B:$B,MATCH(C133,'Item Master'!$A:$A,0)),""))</f>
        <v/>
      </c>
      <c r="E133" s="19"/>
      <c r="F133" s="19"/>
      <c r="G133" s="8" t="str">
        <f t="array" ref="G133">IF(F133="","",IFERROR(INDEX('Item Master'!$B:$B,MATCH(F133,'Item Master'!$A:$A,0)),""))</f>
        <v/>
      </c>
      <c r="H133" s="8">
        <f>IF(F133="",0,SUMIFS('BOM Master'!$F:$F,'BOM Master'!$A:$A,C133,'BOM Master'!$D:$D,F133))</f>
        <v>0</v>
      </c>
      <c r="I133" s="8">
        <f t="shared" si="1"/>
        <v>0</v>
      </c>
      <c r="J133" s="8">
        <f t="array" ref="J133">IF(F133="",0,IFERROR(INDEX('Item Master'!$G:$G,MATCH(F133,'Item Master'!$A:$A,0)),0))</f>
        <v>0</v>
      </c>
      <c r="K133" s="8">
        <f t="shared" si="2"/>
        <v>0</v>
      </c>
      <c r="L133" s="19"/>
      <c r="M133" s="8" t="str">
        <f t="shared" si="3"/>
        <v/>
      </c>
      <c r="N133" s="8" t="str">
        <f t="shared" si="4"/>
        <v/>
      </c>
      <c r="O133" s="8" t="str">
        <f t="shared" si="5"/>
        <v/>
      </c>
      <c r="P133" s="8" t="str">
        <f t="shared" si="6"/>
        <v/>
      </c>
    </row>
    <row r="134" ht="15.75" customHeight="1">
      <c r="A134" s="19"/>
      <c r="B134" s="19"/>
      <c r="C134" s="19"/>
      <c r="D134" s="8" t="str">
        <f t="array" ref="D134">IF(C134="","",IFERROR(INDEX('Item Master'!$B:$B,MATCH(C134,'Item Master'!$A:$A,0)),""))</f>
        <v/>
      </c>
      <c r="E134" s="19"/>
      <c r="F134" s="19"/>
      <c r="G134" s="8" t="str">
        <f t="array" ref="G134">IF(F134="","",IFERROR(INDEX('Item Master'!$B:$B,MATCH(F134,'Item Master'!$A:$A,0)),""))</f>
        <v/>
      </c>
      <c r="H134" s="8">
        <f>IF(F134="",0,SUMIFS('BOM Master'!$F:$F,'BOM Master'!$A:$A,C134,'BOM Master'!$D:$D,F134))</f>
        <v>0</v>
      </c>
      <c r="I134" s="8">
        <f t="shared" si="1"/>
        <v>0</v>
      </c>
      <c r="J134" s="8">
        <f t="array" ref="J134">IF(F134="",0,IFERROR(INDEX('Item Master'!$G:$G,MATCH(F134,'Item Master'!$A:$A,0)),0))</f>
        <v>0</v>
      </c>
      <c r="K134" s="8">
        <f t="shared" si="2"/>
        <v>0</v>
      </c>
      <c r="L134" s="19"/>
      <c r="M134" s="8" t="str">
        <f t="shared" si="3"/>
        <v/>
      </c>
      <c r="N134" s="8" t="str">
        <f t="shared" si="4"/>
        <v/>
      </c>
      <c r="O134" s="8" t="str">
        <f t="shared" si="5"/>
        <v/>
      </c>
      <c r="P134" s="8" t="str">
        <f t="shared" si="6"/>
        <v/>
      </c>
    </row>
    <row r="135" ht="15.75" customHeight="1">
      <c r="A135" s="19"/>
      <c r="B135" s="19"/>
      <c r="C135" s="19"/>
      <c r="D135" s="8" t="str">
        <f t="array" ref="D135">IF(C135="","",IFERROR(INDEX('Item Master'!$B:$B,MATCH(C135,'Item Master'!$A:$A,0)),""))</f>
        <v/>
      </c>
      <c r="E135" s="19"/>
      <c r="F135" s="19"/>
      <c r="G135" s="8" t="str">
        <f t="array" ref="G135">IF(F135="","",IFERROR(INDEX('Item Master'!$B:$B,MATCH(F135,'Item Master'!$A:$A,0)),""))</f>
        <v/>
      </c>
      <c r="H135" s="8">
        <f>IF(F135="",0,SUMIFS('BOM Master'!$F:$F,'BOM Master'!$A:$A,C135,'BOM Master'!$D:$D,F135))</f>
        <v>0</v>
      </c>
      <c r="I135" s="8">
        <f t="shared" si="1"/>
        <v>0</v>
      </c>
      <c r="J135" s="8">
        <f t="array" ref="J135">IF(F135="",0,IFERROR(INDEX('Item Master'!$G:$G,MATCH(F135,'Item Master'!$A:$A,0)),0))</f>
        <v>0</v>
      </c>
      <c r="K135" s="8">
        <f t="shared" si="2"/>
        <v>0</v>
      </c>
      <c r="L135" s="19"/>
      <c r="M135" s="8" t="str">
        <f t="shared" si="3"/>
        <v/>
      </c>
      <c r="N135" s="8" t="str">
        <f t="shared" si="4"/>
        <v/>
      </c>
      <c r="O135" s="8" t="str">
        <f t="shared" si="5"/>
        <v/>
      </c>
      <c r="P135" s="8" t="str">
        <f t="shared" si="6"/>
        <v/>
      </c>
    </row>
    <row r="136" ht="15.75" customHeight="1">
      <c r="A136" s="19"/>
      <c r="B136" s="19"/>
      <c r="C136" s="19"/>
      <c r="D136" s="8" t="str">
        <f t="array" ref="D136">IF(C136="","",IFERROR(INDEX('Item Master'!$B:$B,MATCH(C136,'Item Master'!$A:$A,0)),""))</f>
        <v/>
      </c>
      <c r="E136" s="19"/>
      <c r="F136" s="19"/>
      <c r="G136" s="8" t="str">
        <f t="array" ref="G136">IF(F136="","",IFERROR(INDEX('Item Master'!$B:$B,MATCH(F136,'Item Master'!$A:$A,0)),""))</f>
        <v/>
      </c>
      <c r="H136" s="8">
        <f>IF(F136="",0,SUMIFS('BOM Master'!$F:$F,'BOM Master'!$A:$A,C136,'BOM Master'!$D:$D,F136))</f>
        <v>0</v>
      </c>
      <c r="I136" s="8">
        <f t="shared" si="1"/>
        <v>0</v>
      </c>
      <c r="J136" s="8">
        <f t="array" ref="J136">IF(F136="",0,IFERROR(INDEX('Item Master'!$G:$G,MATCH(F136,'Item Master'!$A:$A,0)),0))</f>
        <v>0</v>
      </c>
      <c r="K136" s="8">
        <f t="shared" si="2"/>
        <v>0</v>
      </c>
      <c r="L136" s="19"/>
      <c r="M136" s="8" t="str">
        <f t="shared" si="3"/>
        <v/>
      </c>
      <c r="N136" s="8" t="str">
        <f t="shared" si="4"/>
        <v/>
      </c>
      <c r="O136" s="8" t="str">
        <f t="shared" si="5"/>
        <v/>
      </c>
      <c r="P136" s="8" t="str">
        <f t="shared" si="6"/>
        <v/>
      </c>
    </row>
    <row r="137" ht="15.75" customHeight="1">
      <c r="A137" s="19"/>
      <c r="B137" s="19"/>
      <c r="C137" s="19"/>
      <c r="D137" s="8" t="str">
        <f t="array" ref="D137">IF(C137="","",IFERROR(INDEX('Item Master'!$B:$B,MATCH(C137,'Item Master'!$A:$A,0)),""))</f>
        <v/>
      </c>
      <c r="E137" s="19"/>
      <c r="F137" s="19"/>
      <c r="G137" s="8" t="str">
        <f t="array" ref="G137">IF(F137="","",IFERROR(INDEX('Item Master'!$B:$B,MATCH(F137,'Item Master'!$A:$A,0)),""))</f>
        <v/>
      </c>
      <c r="H137" s="8">
        <f>IF(F137="",0,SUMIFS('BOM Master'!$F:$F,'BOM Master'!$A:$A,C137,'BOM Master'!$D:$D,F137))</f>
        <v>0</v>
      </c>
      <c r="I137" s="8">
        <f t="shared" si="1"/>
        <v>0</v>
      </c>
      <c r="J137" s="8">
        <f t="array" ref="J137">IF(F137="",0,IFERROR(INDEX('Item Master'!$G:$G,MATCH(F137,'Item Master'!$A:$A,0)),0))</f>
        <v>0</v>
      </c>
      <c r="K137" s="8">
        <f t="shared" si="2"/>
        <v>0</v>
      </c>
      <c r="L137" s="19"/>
      <c r="M137" s="8" t="str">
        <f t="shared" si="3"/>
        <v/>
      </c>
      <c r="N137" s="8" t="str">
        <f t="shared" si="4"/>
        <v/>
      </c>
      <c r="O137" s="8" t="str">
        <f t="shared" si="5"/>
        <v/>
      </c>
      <c r="P137" s="8" t="str">
        <f t="shared" si="6"/>
        <v/>
      </c>
    </row>
    <row r="138" ht="15.75" customHeight="1">
      <c r="A138" s="19"/>
      <c r="B138" s="19"/>
      <c r="C138" s="19"/>
      <c r="D138" s="8" t="str">
        <f t="array" ref="D138">IF(C138="","",IFERROR(INDEX('Item Master'!$B:$B,MATCH(C138,'Item Master'!$A:$A,0)),""))</f>
        <v/>
      </c>
      <c r="E138" s="19"/>
      <c r="F138" s="19"/>
      <c r="G138" s="8" t="str">
        <f t="array" ref="G138">IF(F138="","",IFERROR(INDEX('Item Master'!$B:$B,MATCH(F138,'Item Master'!$A:$A,0)),""))</f>
        <v/>
      </c>
      <c r="H138" s="8">
        <f>IF(F138="",0,SUMIFS('BOM Master'!$F:$F,'BOM Master'!$A:$A,C138,'BOM Master'!$D:$D,F138))</f>
        <v>0</v>
      </c>
      <c r="I138" s="8">
        <f t="shared" si="1"/>
        <v>0</v>
      </c>
      <c r="J138" s="8">
        <f t="array" ref="J138">IF(F138="",0,IFERROR(INDEX('Item Master'!$G:$G,MATCH(F138,'Item Master'!$A:$A,0)),0))</f>
        <v>0</v>
      </c>
      <c r="K138" s="8">
        <f t="shared" si="2"/>
        <v>0</v>
      </c>
      <c r="L138" s="19"/>
      <c r="M138" s="8" t="str">
        <f t="shared" si="3"/>
        <v/>
      </c>
      <c r="N138" s="8" t="str">
        <f t="shared" si="4"/>
        <v/>
      </c>
      <c r="O138" s="8" t="str">
        <f t="shared" si="5"/>
        <v/>
      </c>
      <c r="P138" s="8" t="str">
        <f t="shared" si="6"/>
        <v/>
      </c>
    </row>
    <row r="139" ht="15.75" customHeight="1">
      <c r="A139" s="19"/>
      <c r="B139" s="19"/>
      <c r="C139" s="19"/>
      <c r="D139" s="8" t="str">
        <f t="array" ref="D139">IF(C139="","",IFERROR(INDEX('Item Master'!$B:$B,MATCH(C139,'Item Master'!$A:$A,0)),""))</f>
        <v/>
      </c>
      <c r="E139" s="19"/>
      <c r="F139" s="19"/>
      <c r="G139" s="8" t="str">
        <f t="array" ref="G139">IF(F139="","",IFERROR(INDEX('Item Master'!$B:$B,MATCH(F139,'Item Master'!$A:$A,0)),""))</f>
        <v/>
      </c>
      <c r="H139" s="8">
        <f>IF(F139="",0,SUMIFS('BOM Master'!$F:$F,'BOM Master'!$A:$A,C139,'BOM Master'!$D:$D,F139))</f>
        <v>0</v>
      </c>
      <c r="I139" s="8">
        <f t="shared" si="1"/>
        <v>0</v>
      </c>
      <c r="J139" s="8">
        <f t="array" ref="J139">IF(F139="",0,IFERROR(INDEX('Item Master'!$G:$G,MATCH(F139,'Item Master'!$A:$A,0)),0))</f>
        <v>0</v>
      </c>
      <c r="K139" s="8">
        <f t="shared" si="2"/>
        <v>0</v>
      </c>
      <c r="L139" s="19"/>
      <c r="M139" s="8" t="str">
        <f t="shared" si="3"/>
        <v/>
      </c>
      <c r="N139" s="8" t="str">
        <f t="shared" si="4"/>
        <v/>
      </c>
      <c r="O139" s="8" t="str">
        <f t="shared" si="5"/>
        <v/>
      </c>
      <c r="P139" s="8" t="str">
        <f t="shared" si="6"/>
        <v/>
      </c>
    </row>
    <row r="140" ht="15.75" customHeight="1">
      <c r="A140" s="19"/>
      <c r="B140" s="19"/>
      <c r="C140" s="19"/>
      <c r="D140" s="8" t="str">
        <f t="array" ref="D140">IF(C140="","",IFERROR(INDEX('Item Master'!$B:$B,MATCH(C140,'Item Master'!$A:$A,0)),""))</f>
        <v/>
      </c>
      <c r="E140" s="19"/>
      <c r="F140" s="19"/>
      <c r="G140" s="8" t="str">
        <f t="array" ref="G140">IF(F140="","",IFERROR(INDEX('Item Master'!$B:$B,MATCH(F140,'Item Master'!$A:$A,0)),""))</f>
        <v/>
      </c>
      <c r="H140" s="8">
        <f>IF(F140="",0,SUMIFS('BOM Master'!$F:$F,'BOM Master'!$A:$A,C140,'BOM Master'!$D:$D,F140))</f>
        <v>0</v>
      </c>
      <c r="I140" s="8">
        <f t="shared" si="1"/>
        <v>0</v>
      </c>
      <c r="J140" s="8">
        <f t="array" ref="J140">IF(F140="",0,IFERROR(INDEX('Item Master'!$G:$G,MATCH(F140,'Item Master'!$A:$A,0)),0))</f>
        <v>0</v>
      </c>
      <c r="K140" s="8">
        <f t="shared" si="2"/>
        <v>0</v>
      </c>
      <c r="L140" s="19"/>
      <c r="M140" s="8" t="str">
        <f t="shared" si="3"/>
        <v/>
      </c>
      <c r="N140" s="8" t="str">
        <f t="shared" si="4"/>
        <v/>
      </c>
      <c r="O140" s="8" t="str">
        <f t="shared" si="5"/>
        <v/>
      </c>
      <c r="P140" s="8" t="str">
        <f t="shared" si="6"/>
        <v/>
      </c>
    </row>
    <row r="141" ht="15.75" customHeight="1">
      <c r="A141" s="19"/>
      <c r="B141" s="19"/>
      <c r="C141" s="19"/>
      <c r="D141" s="8" t="str">
        <f t="array" ref="D141">IF(C141="","",IFERROR(INDEX('Item Master'!$B:$B,MATCH(C141,'Item Master'!$A:$A,0)),""))</f>
        <v/>
      </c>
      <c r="E141" s="19"/>
      <c r="F141" s="19"/>
      <c r="G141" s="8" t="str">
        <f t="array" ref="G141">IF(F141="","",IFERROR(INDEX('Item Master'!$B:$B,MATCH(F141,'Item Master'!$A:$A,0)),""))</f>
        <v/>
      </c>
      <c r="H141" s="8">
        <f>IF(F141="",0,SUMIFS('BOM Master'!$F:$F,'BOM Master'!$A:$A,C141,'BOM Master'!$D:$D,F141))</f>
        <v>0</v>
      </c>
      <c r="I141" s="8">
        <f t="shared" si="1"/>
        <v>0</v>
      </c>
      <c r="J141" s="8">
        <f t="array" ref="J141">IF(F141="",0,IFERROR(INDEX('Item Master'!$G:$G,MATCH(F141,'Item Master'!$A:$A,0)),0))</f>
        <v>0</v>
      </c>
      <c r="K141" s="8">
        <f t="shared" si="2"/>
        <v>0</v>
      </c>
      <c r="L141" s="19"/>
      <c r="M141" s="8" t="str">
        <f t="shared" si="3"/>
        <v/>
      </c>
      <c r="N141" s="8" t="str">
        <f t="shared" si="4"/>
        <v/>
      </c>
      <c r="O141" s="8" t="str">
        <f t="shared" si="5"/>
        <v/>
      </c>
      <c r="P141" s="8" t="str">
        <f t="shared" si="6"/>
        <v/>
      </c>
    </row>
    <row r="142" ht="15.75" customHeight="1">
      <c r="A142" s="19"/>
      <c r="B142" s="19"/>
      <c r="C142" s="19"/>
      <c r="D142" s="8" t="str">
        <f t="array" ref="D142">IF(C142="","",IFERROR(INDEX('Item Master'!$B:$B,MATCH(C142,'Item Master'!$A:$A,0)),""))</f>
        <v/>
      </c>
      <c r="E142" s="19"/>
      <c r="F142" s="19"/>
      <c r="G142" s="8" t="str">
        <f t="array" ref="G142">IF(F142="","",IFERROR(INDEX('Item Master'!$B:$B,MATCH(F142,'Item Master'!$A:$A,0)),""))</f>
        <v/>
      </c>
      <c r="H142" s="8">
        <f>IF(F142="",0,SUMIFS('BOM Master'!$F:$F,'BOM Master'!$A:$A,C142,'BOM Master'!$D:$D,F142))</f>
        <v>0</v>
      </c>
      <c r="I142" s="8">
        <f t="shared" si="1"/>
        <v>0</v>
      </c>
      <c r="J142" s="8">
        <f t="array" ref="J142">IF(F142="",0,IFERROR(INDEX('Item Master'!$G:$G,MATCH(F142,'Item Master'!$A:$A,0)),0))</f>
        <v>0</v>
      </c>
      <c r="K142" s="8">
        <f t="shared" si="2"/>
        <v>0</v>
      </c>
      <c r="L142" s="19"/>
      <c r="M142" s="8" t="str">
        <f t="shared" si="3"/>
        <v/>
      </c>
      <c r="N142" s="8" t="str">
        <f t="shared" si="4"/>
        <v/>
      </c>
      <c r="O142" s="8" t="str">
        <f t="shared" si="5"/>
        <v/>
      </c>
      <c r="P142" s="8" t="str">
        <f t="shared" si="6"/>
        <v/>
      </c>
    </row>
    <row r="143" ht="15.75" customHeight="1">
      <c r="A143" s="19"/>
      <c r="B143" s="19"/>
      <c r="C143" s="19"/>
      <c r="D143" s="8" t="str">
        <f t="array" ref="D143">IF(C143="","",IFERROR(INDEX('Item Master'!$B:$B,MATCH(C143,'Item Master'!$A:$A,0)),""))</f>
        <v/>
      </c>
      <c r="E143" s="19"/>
      <c r="F143" s="19"/>
      <c r="G143" s="8" t="str">
        <f t="array" ref="G143">IF(F143="","",IFERROR(INDEX('Item Master'!$B:$B,MATCH(F143,'Item Master'!$A:$A,0)),""))</f>
        <v/>
      </c>
      <c r="H143" s="8">
        <f>IF(F143="",0,SUMIFS('BOM Master'!$F:$F,'BOM Master'!$A:$A,C143,'BOM Master'!$D:$D,F143))</f>
        <v>0</v>
      </c>
      <c r="I143" s="8">
        <f t="shared" si="1"/>
        <v>0</v>
      </c>
      <c r="J143" s="8">
        <f t="array" ref="J143">IF(F143="",0,IFERROR(INDEX('Item Master'!$G:$G,MATCH(F143,'Item Master'!$A:$A,0)),0))</f>
        <v>0</v>
      </c>
      <c r="K143" s="8">
        <f t="shared" si="2"/>
        <v>0</v>
      </c>
      <c r="L143" s="19"/>
      <c r="M143" s="8" t="str">
        <f t="shared" si="3"/>
        <v/>
      </c>
      <c r="N143" s="8" t="str">
        <f t="shared" si="4"/>
        <v/>
      </c>
      <c r="O143" s="8" t="str">
        <f t="shared" si="5"/>
        <v/>
      </c>
      <c r="P143" s="8" t="str">
        <f t="shared" si="6"/>
        <v/>
      </c>
    </row>
    <row r="144" ht="15.75" customHeight="1">
      <c r="A144" s="19"/>
      <c r="B144" s="19"/>
      <c r="C144" s="19"/>
      <c r="D144" s="8" t="str">
        <f t="array" ref="D144">IF(C144="","",IFERROR(INDEX('Item Master'!$B:$B,MATCH(C144,'Item Master'!$A:$A,0)),""))</f>
        <v/>
      </c>
      <c r="E144" s="19"/>
      <c r="F144" s="19"/>
      <c r="G144" s="8" t="str">
        <f t="array" ref="G144">IF(F144="","",IFERROR(INDEX('Item Master'!$B:$B,MATCH(F144,'Item Master'!$A:$A,0)),""))</f>
        <v/>
      </c>
      <c r="H144" s="8">
        <f>IF(F144="",0,SUMIFS('BOM Master'!$F:$F,'BOM Master'!$A:$A,C144,'BOM Master'!$D:$D,F144))</f>
        <v>0</v>
      </c>
      <c r="I144" s="8">
        <f t="shared" si="1"/>
        <v>0</v>
      </c>
      <c r="J144" s="8">
        <f t="array" ref="J144">IF(F144="",0,IFERROR(INDEX('Item Master'!$G:$G,MATCH(F144,'Item Master'!$A:$A,0)),0))</f>
        <v>0</v>
      </c>
      <c r="K144" s="8">
        <f t="shared" si="2"/>
        <v>0</v>
      </c>
      <c r="L144" s="19"/>
      <c r="M144" s="8" t="str">
        <f t="shared" si="3"/>
        <v/>
      </c>
      <c r="N144" s="8" t="str">
        <f t="shared" si="4"/>
        <v/>
      </c>
      <c r="O144" s="8" t="str">
        <f t="shared" si="5"/>
        <v/>
      </c>
      <c r="P144" s="8" t="str">
        <f t="shared" si="6"/>
        <v/>
      </c>
    </row>
    <row r="145" ht="15.75" customHeight="1">
      <c r="A145" s="19"/>
      <c r="B145" s="19"/>
      <c r="C145" s="19"/>
      <c r="D145" s="8" t="str">
        <f t="array" ref="D145">IF(C145="","",IFERROR(INDEX('Item Master'!$B:$B,MATCH(C145,'Item Master'!$A:$A,0)),""))</f>
        <v/>
      </c>
      <c r="E145" s="19"/>
      <c r="F145" s="19"/>
      <c r="G145" s="8" t="str">
        <f t="array" ref="G145">IF(F145="","",IFERROR(INDEX('Item Master'!$B:$B,MATCH(F145,'Item Master'!$A:$A,0)),""))</f>
        <v/>
      </c>
      <c r="H145" s="8">
        <f>IF(F145="",0,SUMIFS('BOM Master'!$F:$F,'BOM Master'!$A:$A,C145,'BOM Master'!$D:$D,F145))</f>
        <v>0</v>
      </c>
      <c r="I145" s="8">
        <f t="shared" si="1"/>
        <v>0</v>
      </c>
      <c r="J145" s="8">
        <f t="array" ref="J145">IF(F145="",0,IFERROR(INDEX('Item Master'!$G:$G,MATCH(F145,'Item Master'!$A:$A,0)),0))</f>
        <v>0</v>
      </c>
      <c r="K145" s="8">
        <f t="shared" si="2"/>
        <v>0</v>
      </c>
      <c r="L145" s="19"/>
      <c r="M145" s="8" t="str">
        <f t="shared" si="3"/>
        <v/>
      </c>
      <c r="N145" s="8" t="str">
        <f t="shared" si="4"/>
        <v/>
      </c>
      <c r="O145" s="8" t="str">
        <f t="shared" si="5"/>
        <v/>
      </c>
      <c r="P145" s="8" t="str">
        <f t="shared" si="6"/>
        <v/>
      </c>
    </row>
    <row r="146" ht="15.75" customHeight="1">
      <c r="A146" s="19"/>
      <c r="B146" s="19"/>
      <c r="C146" s="19"/>
      <c r="D146" s="8" t="str">
        <f t="array" ref="D146">IF(C146="","",IFERROR(INDEX('Item Master'!$B:$B,MATCH(C146,'Item Master'!$A:$A,0)),""))</f>
        <v/>
      </c>
      <c r="E146" s="19"/>
      <c r="F146" s="19"/>
      <c r="G146" s="8" t="str">
        <f t="array" ref="G146">IF(F146="","",IFERROR(INDEX('Item Master'!$B:$B,MATCH(F146,'Item Master'!$A:$A,0)),""))</f>
        <v/>
      </c>
      <c r="H146" s="8">
        <f>IF(F146="",0,SUMIFS('BOM Master'!$F:$F,'BOM Master'!$A:$A,C146,'BOM Master'!$D:$D,F146))</f>
        <v>0</v>
      </c>
      <c r="I146" s="8">
        <f t="shared" si="1"/>
        <v>0</v>
      </c>
      <c r="J146" s="8">
        <f t="array" ref="J146">IF(F146="",0,IFERROR(INDEX('Item Master'!$G:$G,MATCH(F146,'Item Master'!$A:$A,0)),0))</f>
        <v>0</v>
      </c>
      <c r="K146" s="8">
        <f t="shared" si="2"/>
        <v>0</v>
      </c>
      <c r="L146" s="19"/>
      <c r="M146" s="8" t="str">
        <f t="shared" si="3"/>
        <v/>
      </c>
      <c r="N146" s="8" t="str">
        <f t="shared" si="4"/>
        <v/>
      </c>
      <c r="O146" s="8" t="str">
        <f t="shared" si="5"/>
        <v/>
      </c>
      <c r="P146" s="8" t="str">
        <f t="shared" si="6"/>
        <v/>
      </c>
    </row>
    <row r="147" ht="15.75" customHeight="1">
      <c r="A147" s="19"/>
      <c r="B147" s="19"/>
      <c r="C147" s="19"/>
      <c r="D147" s="8" t="str">
        <f t="array" ref="D147">IF(C147="","",IFERROR(INDEX('Item Master'!$B:$B,MATCH(C147,'Item Master'!$A:$A,0)),""))</f>
        <v/>
      </c>
      <c r="E147" s="19"/>
      <c r="F147" s="19"/>
      <c r="G147" s="8" t="str">
        <f t="array" ref="G147">IF(F147="","",IFERROR(INDEX('Item Master'!$B:$B,MATCH(F147,'Item Master'!$A:$A,0)),""))</f>
        <v/>
      </c>
      <c r="H147" s="8">
        <f>IF(F147="",0,SUMIFS('BOM Master'!$F:$F,'BOM Master'!$A:$A,C147,'BOM Master'!$D:$D,F147))</f>
        <v>0</v>
      </c>
      <c r="I147" s="8">
        <f t="shared" si="1"/>
        <v>0</v>
      </c>
      <c r="J147" s="8">
        <f t="array" ref="J147">IF(F147="",0,IFERROR(INDEX('Item Master'!$G:$G,MATCH(F147,'Item Master'!$A:$A,0)),0))</f>
        <v>0</v>
      </c>
      <c r="K147" s="8">
        <f t="shared" si="2"/>
        <v>0</v>
      </c>
      <c r="L147" s="19"/>
      <c r="M147" s="8" t="str">
        <f t="shared" si="3"/>
        <v/>
      </c>
      <c r="N147" s="8" t="str">
        <f t="shared" si="4"/>
        <v/>
      </c>
      <c r="O147" s="8" t="str">
        <f t="shared" si="5"/>
        <v/>
      </c>
      <c r="P147" s="8" t="str">
        <f t="shared" si="6"/>
        <v/>
      </c>
    </row>
    <row r="148" ht="15.75" customHeight="1">
      <c r="A148" s="19"/>
      <c r="B148" s="19"/>
      <c r="C148" s="19"/>
      <c r="D148" s="8" t="str">
        <f t="array" ref="D148">IF(C148="","",IFERROR(INDEX('Item Master'!$B:$B,MATCH(C148,'Item Master'!$A:$A,0)),""))</f>
        <v/>
      </c>
      <c r="E148" s="19"/>
      <c r="F148" s="19"/>
      <c r="G148" s="8" t="str">
        <f t="array" ref="G148">IF(F148="","",IFERROR(INDEX('Item Master'!$B:$B,MATCH(F148,'Item Master'!$A:$A,0)),""))</f>
        <v/>
      </c>
      <c r="H148" s="8">
        <f>IF(F148="",0,SUMIFS('BOM Master'!$F:$F,'BOM Master'!$A:$A,C148,'BOM Master'!$D:$D,F148))</f>
        <v>0</v>
      </c>
      <c r="I148" s="8">
        <f t="shared" si="1"/>
        <v>0</v>
      </c>
      <c r="J148" s="8">
        <f t="array" ref="J148">IF(F148="",0,IFERROR(INDEX('Item Master'!$G:$G,MATCH(F148,'Item Master'!$A:$A,0)),0))</f>
        <v>0</v>
      </c>
      <c r="K148" s="8">
        <f t="shared" si="2"/>
        <v>0</v>
      </c>
      <c r="L148" s="19"/>
      <c r="M148" s="8" t="str">
        <f t="shared" si="3"/>
        <v/>
      </c>
      <c r="N148" s="8" t="str">
        <f t="shared" si="4"/>
        <v/>
      </c>
      <c r="O148" s="8" t="str">
        <f t="shared" si="5"/>
        <v/>
      </c>
      <c r="P148" s="8" t="str">
        <f t="shared" si="6"/>
        <v/>
      </c>
    </row>
    <row r="149" ht="15.75" customHeight="1">
      <c r="A149" s="19"/>
      <c r="B149" s="19"/>
      <c r="C149" s="19"/>
      <c r="D149" s="8" t="str">
        <f t="array" ref="D149">IF(C149="","",IFERROR(INDEX('Item Master'!$B:$B,MATCH(C149,'Item Master'!$A:$A,0)),""))</f>
        <v/>
      </c>
      <c r="E149" s="19"/>
      <c r="F149" s="19"/>
      <c r="G149" s="8" t="str">
        <f t="array" ref="G149">IF(F149="","",IFERROR(INDEX('Item Master'!$B:$B,MATCH(F149,'Item Master'!$A:$A,0)),""))</f>
        <v/>
      </c>
      <c r="H149" s="8">
        <f>IF(F149="",0,SUMIFS('BOM Master'!$F:$F,'BOM Master'!$A:$A,C149,'BOM Master'!$D:$D,F149))</f>
        <v>0</v>
      </c>
      <c r="I149" s="8">
        <f t="shared" si="1"/>
        <v>0</v>
      </c>
      <c r="J149" s="8">
        <f t="array" ref="J149">IF(F149="",0,IFERROR(INDEX('Item Master'!$G:$G,MATCH(F149,'Item Master'!$A:$A,0)),0))</f>
        <v>0</v>
      </c>
      <c r="K149" s="8">
        <f t="shared" si="2"/>
        <v>0</v>
      </c>
      <c r="L149" s="19"/>
      <c r="M149" s="8" t="str">
        <f t="shared" si="3"/>
        <v/>
      </c>
      <c r="N149" s="8" t="str">
        <f t="shared" si="4"/>
        <v/>
      </c>
      <c r="O149" s="8" t="str">
        <f t="shared" si="5"/>
        <v/>
      </c>
      <c r="P149" s="8" t="str">
        <f t="shared" si="6"/>
        <v/>
      </c>
    </row>
    <row r="150" ht="15.75" customHeight="1">
      <c r="A150" s="19"/>
      <c r="B150" s="19"/>
      <c r="C150" s="19"/>
      <c r="D150" s="8" t="str">
        <f t="array" ref="D150">IF(C150="","",IFERROR(INDEX('Item Master'!$B:$B,MATCH(C150,'Item Master'!$A:$A,0)),""))</f>
        <v/>
      </c>
      <c r="E150" s="19"/>
      <c r="F150" s="19"/>
      <c r="G150" s="8" t="str">
        <f t="array" ref="G150">IF(F150="","",IFERROR(INDEX('Item Master'!$B:$B,MATCH(F150,'Item Master'!$A:$A,0)),""))</f>
        <v/>
      </c>
      <c r="H150" s="8">
        <f>IF(F150="",0,SUMIFS('BOM Master'!$F:$F,'BOM Master'!$A:$A,C150,'BOM Master'!$D:$D,F150))</f>
        <v>0</v>
      </c>
      <c r="I150" s="8">
        <f t="shared" si="1"/>
        <v>0</v>
      </c>
      <c r="J150" s="8">
        <f t="array" ref="J150">IF(F150="",0,IFERROR(INDEX('Item Master'!$G:$G,MATCH(F150,'Item Master'!$A:$A,0)),0))</f>
        <v>0</v>
      </c>
      <c r="K150" s="8">
        <f t="shared" si="2"/>
        <v>0</v>
      </c>
      <c r="L150" s="19"/>
      <c r="M150" s="8" t="str">
        <f t="shared" si="3"/>
        <v/>
      </c>
      <c r="N150" s="8" t="str">
        <f t="shared" si="4"/>
        <v/>
      </c>
      <c r="O150" s="8" t="str">
        <f t="shared" si="5"/>
        <v/>
      </c>
      <c r="P150" s="8" t="str">
        <f t="shared" si="6"/>
        <v/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50 F2:F150">
      <formula1>'Item Master'!$A$2:$A$99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24.0"/>
    <col customWidth="1" min="4" max="9" width="16.0"/>
    <col customWidth="1" min="10" max="10" width="22.29"/>
    <col customWidth="1" min="11" max="13" width="16.0"/>
    <col customWidth="1" min="14" max="26" width="8.71"/>
  </cols>
  <sheetData>
    <row r="1" ht="33.75" customHeight="1">
      <c r="A1" s="3" t="s">
        <v>8</v>
      </c>
      <c r="B1" s="3" t="s">
        <v>118</v>
      </c>
      <c r="C1" s="3" t="s">
        <v>121</v>
      </c>
      <c r="D1" s="3" t="s">
        <v>218</v>
      </c>
      <c r="E1" s="3" t="s">
        <v>219</v>
      </c>
      <c r="F1" s="3" t="s">
        <v>220</v>
      </c>
      <c r="G1" s="3" t="s">
        <v>221</v>
      </c>
      <c r="H1" s="3" t="s">
        <v>222</v>
      </c>
      <c r="I1" s="3" t="s">
        <v>223</v>
      </c>
      <c r="J1" s="3" t="s">
        <v>224</v>
      </c>
      <c r="K1" s="3" t="s">
        <v>225</v>
      </c>
      <c r="L1" s="3" t="s">
        <v>226</v>
      </c>
      <c r="M1" s="3" t="s">
        <v>227</v>
      </c>
    </row>
    <row r="2">
      <c r="A2" s="9">
        <v>46266.0</v>
      </c>
      <c r="B2" s="7" t="s">
        <v>141</v>
      </c>
      <c r="C2" s="8" t="str">
        <f t="array" ref="C2">IFERROR(INDEX('Item Master'!$B:$B,MATCH(B2,'Item Master'!$A:$A,0)),"")</f>
        <v>Raw Material A</v>
      </c>
      <c r="D2" s="7" t="s">
        <v>230</v>
      </c>
      <c r="E2" s="7" t="s">
        <v>231</v>
      </c>
      <c r="F2" s="7"/>
      <c r="G2" s="7"/>
      <c r="H2" s="10"/>
      <c r="I2" s="10"/>
      <c r="J2" s="8">
        <f t="shared" ref="J2:J200" si="1">IFERROR(H2*(SUMIFS($G$1:G1,$B$1:B1,B2)-SUMIFS($I$1:I1,$B$1:B1,B2))/(SUMIFS($F$1:F1,$B$1:B1,B2)-SUMIFS($H$1:H1,$B$1:B1,B2)),0)</f>
        <v>0</v>
      </c>
      <c r="K2" s="8">
        <f t="shared" ref="K2:K200" si="2">IF(B2="","",SUMIFS($F$2:F2,$B$2:B2,B2)-SUMIFS($H$2:H2,$B$2:B2,B2))</f>
        <v>0</v>
      </c>
      <c r="L2" s="8">
        <f t="shared" ref="L2:L200" si="3">IF(B2="","",SUMIFS($G$2:G2,$B$2:B2,B2)-SUMIFS($I$2:I2,$B$2:B2,B2))</f>
        <v>0</v>
      </c>
      <c r="M2" s="8">
        <f t="shared" ref="M2:M200" si="4">IFERROR(L2/K2,0)</f>
        <v>0</v>
      </c>
    </row>
    <row r="3">
      <c r="A3" s="9">
        <v>46266.0</v>
      </c>
      <c r="B3" s="7" t="s">
        <v>195</v>
      </c>
      <c r="C3" s="8" t="str">
        <f t="array" ref="C3">IFERROR(INDEX('Item Master'!$B:$B,MATCH(B3,'Item Master'!$A:$A,0)),"")</f>
        <v>Raw Material B</v>
      </c>
      <c r="D3" s="7" t="s">
        <v>230</v>
      </c>
      <c r="E3" s="7" t="s">
        <v>231</v>
      </c>
      <c r="F3" s="7"/>
      <c r="G3" s="7"/>
      <c r="H3" s="10"/>
      <c r="I3" s="10"/>
      <c r="J3" s="8">
        <f t="shared" si="1"/>
        <v>0</v>
      </c>
      <c r="K3" s="8">
        <f t="shared" si="2"/>
        <v>0</v>
      </c>
      <c r="L3" s="8">
        <f t="shared" si="3"/>
        <v>0</v>
      </c>
      <c r="M3" s="8">
        <f t="shared" si="4"/>
        <v>0</v>
      </c>
    </row>
    <row r="4">
      <c r="A4" s="9">
        <v>46266.0</v>
      </c>
      <c r="B4" s="7" t="s">
        <v>202</v>
      </c>
      <c r="C4" s="8" t="str">
        <f t="array" ref="C4">IFERROR(INDEX('Item Master'!$B:$B,MATCH(B4,'Item Master'!$A:$A,0)),"")</f>
        <v>Packaging Box</v>
      </c>
      <c r="D4" s="7" t="s">
        <v>230</v>
      </c>
      <c r="E4" s="7" t="s">
        <v>231</v>
      </c>
      <c r="F4" s="7"/>
      <c r="G4" s="7"/>
      <c r="H4" s="10"/>
      <c r="I4" s="10"/>
      <c r="J4" s="8">
        <f t="shared" si="1"/>
        <v>0</v>
      </c>
      <c r="K4" s="8">
        <f t="shared" si="2"/>
        <v>0</v>
      </c>
      <c r="L4" s="8">
        <f t="shared" si="3"/>
        <v>0</v>
      </c>
      <c r="M4" s="8">
        <f t="shared" si="4"/>
        <v>0</v>
      </c>
    </row>
    <row r="5">
      <c r="A5" s="9">
        <v>46266.0</v>
      </c>
      <c r="B5" s="7" t="s">
        <v>206</v>
      </c>
      <c r="C5" s="8" t="str">
        <f t="array" ref="C5">IFERROR(INDEX('Item Master'!$B:$B,MATCH(B5,'Item Master'!$A:$A,0)),"")</f>
        <v>Trading Item Y</v>
      </c>
      <c r="D5" s="7" t="s">
        <v>230</v>
      </c>
      <c r="E5" s="7" t="s">
        <v>231</v>
      </c>
      <c r="F5" s="7"/>
      <c r="G5" s="7"/>
      <c r="H5" s="10"/>
      <c r="I5" s="10"/>
      <c r="J5" s="8">
        <f t="shared" si="1"/>
        <v>0</v>
      </c>
      <c r="K5" s="8">
        <f t="shared" si="2"/>
        <v>0</v>
      </c>
      <c r="L5" s="8">
        <f t="shared" si="3"/>
        <v>0</v>
      </c>
      <c r="M5" s="8">
        <f t="shared" si="4"/>
        <v>0</v>
      </c>
    </row>
    <row r="6">
      <c r="A6" s="9">
        <v>46266.0</v>
      </c>
      <c r="B6" s="7" t="s">
        <v>209</v>
      </c>
      <c r="C6" s="8" t="str">
        <f t="array" ref="C6">IFERROR(INDEX('Item Master'!$B:$B,MATCH(B6,'Item Master'!$A:$A,0)),"")</f>
        <v>Imported Item Z</v>
      </c>
      <c r="D6" s="7" t="s">
        <v>230</v>
      </c>
      <c r="E6" s="7" t="s">
        <v>231</v>
      </c>
      <c r="F6" s="7"/>
      <c r="G6" s="7"/>
      <c r="H6" s="10"/>
      <c r="I6" s="10"/>
      <c r="J6" s="8">
        <f t="shared" si="1"/>
        <v>0</v>
      </c>
      <c r="K6" s="8">
        <f t="shared" si="2"/>
        <v>0</v>
      </c>
      <c r="L6" s="8">
        <f t="shared" si="3"/>
        <v>0</v>
      </c>
      <c r="M6" s="8">
        <f t="shared" si="4"/>
        <v>0</v>
      </c>
    </row>
    <row r="7">
      <c r="A7" s="9">
        <v>46266.0</v>
      </c>
      <c r="B7" s="7" t="s">
        <v>141</v>
      </c>
      <c r="C7" s="8" t="str">
        <f t="array" ref="C7">IFERROR(INDEX('Item Master'!$B:$B,MATCH(B7,'Item Master'!$A:$A,0)),"")</f>
        <v>Raw Material A</v>
      </c>
      <c r="D7" s="7" t="s">
        <v>244</v>
      </c>
      <c r="E7" s="7" t="s">
        <v>48</v>
      </c>
      <c r="F7" s="10"/>
      <c r="G7" s="10"/>
      <c r="H7" s="25"/>
      <c r="I7" s="7"/>
      <c r="J7" s="8">
        <f t="shared" si="1"/>
        <v>0</v>
      </c>
      <c r="K7" s="8">
        <f t="shared" si="2"/>
        <v>0</v>
      </c>
      <c r="L7" s="8">
        <f t="shared" si="3"/>
        <v>0</v>
      </c>
      <c r="M7" s="8">
        <f t="shared" si="4"/>
        <v>0</v>
      </c>
    </row>
    <row r="8">
      <c r="A8" s="9">
        <v>46266.0</v>
      </c>
      <c r="B8" s="7" t="s">
        <v>179</v>
      </c>
      <c r="C8" s="8" t="str">
        <f t="array" ref="C8">IFERROR(INDEX('Item Master'!$B:$B,MATCH(B8,'Item Master'!$A:$A,0)),"")</f>
        <v>Semi-Finished Stage 1</v>
      </c>
      <c r="D8" s="7" t="s">
        <v>245</v>
      </c>
      <c r="E8" s="7" t="s">
        <v>48</v>
      </c>
      <c r="F8" s="7"/>
      <c r="G8" s="7"/>
      <c r="H8" s="10"/>
      <c r="I8" s="10"/>
      <c r="J8" s="8">
        <f t="shared" si="1"/>
        <v>0</v>
      </c>
      <c r="K8" s="8">
        <f t="shared" si="2"/>
        <v>0</v>
      </c>
      <c r="L8" s="8">
        <f t="shared" si="3"/>
        <v>0</v>
      </c>
      <c r="M8" s="8">
        <f t="shared" si="4"/>
        <v>0</v>
      </c>
    </row>
    <row r="9">
      <c r="A9" s="9">
        <v>46266.0</v>
      </c>
      <c r="B9" s="7" t="s">
        <v>179</v>
      </c>
      <c r="C9" s="8" t="str">
        <f t="array" ref="C9">IFERROR(INDEX('Item Master'!$B:$B,MATCH(B9,'Item Master'!$A:$A,0)),"")</f>
        <v>Semi-Finished Stage 1</v>
      </c>
      <c r="D9" s="7" t="s">
        <v>244</v>
      </c>
      <c r="E9" s="7" t="s">
        <v>149</v>
      </c>
      <c r="F9" s="10"/>
      <c r="G9" s="10"/>
      <c r="H9" s="7"/>
      <c r="I9" s="7"/>
      <c r="J9" s="8">
        <f t="shared" si="1"/>
        <v>0</v>
      </c>
      <c r="K9" s="8">
        <f t="shared" si="2"/>
        <v>0</v>
      </c>
      <c r="L9" s="8">
        <f t="shared" si="3"/>
        <v>0</v>
      </c>
      <c r="M9" s="8">
        <f t="shared" si="4"/>
        <v>0</v>
      </c>
    </row>
    <row r="10">
      <c r="A10" s="9">
        <v>46266.0</v>
      </c>
      <c r="B10" s="7" t="s">
        <v>195</v>
      </c>
      <c r="C10" s="8" t="str">
        <f t="array" ref="C10">IFERROR(INDEX('Item Master'!$B:$B,MATCH(B10,'Item Master'!$A:$A,0)),"")</f>
        <v>Raw Material B</v>
      </c>
      <c r="D10" s="7" t="s">
        <v>244</v>
      </c>
      <c r="E10" s="7" t="s">
        <v>149</v>
      </c>
      <c r="F10" s="10"/>
      <c r="G10" s="10"/>
      <c r="H10" s="7"/>
      <c r="I10" s="7"/>
      <c r="J10" s="8">
        <f t="shared" si="1"/>
        <v>0</v>
      </c>
      <c r="K10" s="8">
        <f t="shared" si="2"/>
        <v>0</v>
      </c>
      <c r="L10" s="8">
        <f t="shared" si="3"/>
        <v>0</v>
      </c>
      <c r="M10" s="8">
        <f t="shared" si="4"/>
        <v>0</v>
      </c>
    </row>
    <row r="11">
      <c r="A11" s="9">
        <v>46266.0</v>
      </c>
      <c r="B11" s="7" t="s">
        <v>193</v>
      </c>
      <c r="C11" s="8" t="str">
        <f t="array" ref="C11">IFERROR(INDEX('Item Master'!$B:$B,MATCH(B11,'Item Master'!$A:$A,0)),"")</f>
        <v>Semi-Finished Stage 2</v>
      </c>
      <c r="D11" s="7" t="s">
        <v>245</v>
      </c>
      <c r="E11" s="7" t="s">
        <v>149</v>
      </c>
      <c r="F11" s="7"/>
      <c r="G11" s="7"/>
      <c r="H11" s="10"/>
      <c r="I11" s="10"/>
      <c r="J11" s="8">
        <f t="shared" si="1"/>
        <v>0</v>
      </c>
      <c r="K11" s="8">
        <f t="shared" si="2"/>
        <v>0</v>
      </c>
      <c r="L11" s="8">
        <f t="shared" si="3"/>
        <v>0</v>
      </c>
      <c r="M11" s="8">
        <f t="shared" si="4"/>
        <v>0</v>
      </c>
    </row>
    <row r="12">
      <c r="A12" s="9">
        <v>46266.0</v>
      </c>
      <c r="B12" s="7" t="s">
        <v>193</v>
      </c>
      <c r="C12" s="8" t="str">
        <f t="array" ref="C12">IFERROR(INDEX('Item Master'!$B:$B,MATCH(B12,'Item Master'!$A:$A,0)),"")</f>
        <v>Semi-Finished Stage 2</v>
      </c>
      <c r="D12" s="7" t="s">
        <v>244</v>
      </c>
      <c r="E12" s="7" t="s">
        <v>155</v>
      </c>
      <c r="F12" s="10"/>
      <c r="G12" s="10"/>
      <c r="H12" s="7"/>
      <c r="I12" s="7"/>
      <c r="J12" s="8">
        <f t="shared" si="1"/>
        <v>0</v>
      </c>
      <c r="K12" s="8">
        <f t="shared" si="2"/>
        <v>0</v>
      </c>
      <c r="L12" s="8">
        <f t="shared" si="3"/>
        <v>0</v>
      </c>
      <c r="M12" s="8">
        <f t="shared" si="4"/>
        <v>0</v>
      </c>
    </row>
    <row r="13">
      <c r="A13" s="9">
        <v>46266.0</v>
      </c>
      <c r="B13" s="7" t="s">
        <v>202</v>
      </c>
      <c r="C13" s="8" t="str">
        <f t="array" ref="C13">IFERROR(INDEX('Item Master'!$B:$B,MATCH(B13,'Item Master'!$A:$A,0)),"")</f>
        <v>Packaging Box</v>
      </c>
      <c r="D13" s="7" t="s">
        <v>244</v>
      </c>
      <c r="E13" s="7" t="s">
        <v>155</v>
      </c>
      <c r="F13" s="10"/>
      <c r="G13" s="10"/>
      <c r="H13" s="7"/>
      <c r="I13" s="7"/>
      <c r="J13" s="8">
        <f t="shared" si="1"/>
        <v>0</v>
      </c>
      <c r="K13" s="8">
        <f t="shared" si="2"/>
        <v>0</v>
      </c>
      <c r="L13" s="8">
        <f t="shared" si="3"/>
        <v>0</v>
      </c>
      <c r="M13" s="8">
        <f t="shared" si="4"/>
        <v>0</v>
      </c>
    </row>
    <row r="14">
      <c r="A14" s="9">
        <v>46266.0</v>
      </c>
      <c r="B14" s="7" t="s">
        <v>200</v>
      </c>
      <c r="C14" s="8" t="str">
        <f t="array" ref="C14">IFERROR(INDEX('Item Master'!$B:$B,MATCH(B14,'Item Master'!$A:$A,0)),"")</f>
        <v>Finished Good X</v>
      </c>
      <c r="D14" s="7" t="s">
        <v>245</v>
      </c>
      <c r="E14" s="7" t="s">
        <v>155</v>
      </c>
      <c r="F14" s="7"/>
      <c r="G14" s="7"/>
      <c r="H14" s="10"/>
      <c r="I14" s="10"/>
      <c r="J14" s="8">
        <f t="shared" si="1"/>
        <v>0</v>
      </c>
      <c r="K14" s="8">
        <f t="shared" si="2"/>
        <v>0</v>
      </c>
      <c r="L14" s="8">
        <f t="shared" si="3"/>
        <v>0</v>
      </c>
      <c r="M14" s="8">
        <f t="shared" si="4"/>
        <v>0</v>
      </c>
    </row>
    <row r="15">
      <c r="A15" s="9">
        <v>46266.0</v>
      </c>
      <c r="B15" s="7" t="s">
        <v>200</v>
      </c>
      <c r="C15" s="8" t="str">
        <f t="array" ref="C15">IFERROR(INDEX('Item Master'!$B:$B,MATCH(B15,'Item Master'!$A:$A,0)),"")</f>
        <v>Finished Good X</v>
      </c>
      <c r="D15" s="7" t="s">
        <v>257</v>
      </c>
      <c r="E15" s="7" t="s">
        <v>182</v>
      </c>
      <c r="F15" s="10"/>
      <c r="G15" s="10"/>
      <c r="H15" s="7"/>
      <c r="I15" s="7"/>
      <c r="J15" s="8">
        <f t="shared" si="1"/>
        <v>0</v>
      </c>
      <c r="K15" s="8">
        <f t="shared" si="2"/>
        <v>0</v>
      </c>
      <c r="L15" s="8">
        <f t="shared" si="3"/>
        <v>0</v>
      </c>
      <c r="M15" s="8">
        <f t="shared" si="4"/>
        <v>0</v>
      </c>
    </row>
    <row r="16">
      <c r="A16" s="9">
        <v>46267.0</v>
      </c>
      <c r="B16" s="20" t="s">
        <v>248</v>
      </c>
      <c r="C16" s="8" t="str">
        <f t="array" ref="C16">IF(B16="","",IFERROR(INDEX('Item Master'!$B:$B,MATCH(B16,'Item Master'!$A:$A,0)),""))</f>
        <v>Resin A</v>
      </c>
      <c r="D16" s="20" t="s">
        <v>245</v>
      </c>
      <c r="E16" s="20" t="s">
        <v>259</v>
      </c>
      <c r="F16" s="20">
        <v>500.0</v>
      </c>
      <c r="G16" s="20">
        <v>750000.0</v>
      </c>
      <c r="H16" s="19"/>
      <c r="I16" s="19"/>
      <c r="J16" s="8">
        <f t="shared" si="1"/>
        <v>0</v>
      </c>
      <c r="K16" s="8">
        <f t="shared" si="2"/>
        <v>500</v>
      </c>
      <c r="L16" s="8">
        <f t="shared" si="3"/>
        <v>750000</v>
      </c>
      <c r="M16" s="8">
        <f t="shared" si="4"/>
        <v>1500</v>
      </c>
    </row>
    <row r="17">
      <c r="A17" s="19"/>
      <c r="B17" s="20" t="s">
        <v>183</v>
      </c>
      <c r="C17" s="8" t="str">
        <f t="array" ref="C17">IF(B17="","",IFERROR(INDEX('Item Master'!$B:$B,MATCH(B17,'Item Master'!$A:$A,0)),""))</f>
        <v>Elephent Cement</v>
      </c>
      <c r="D17" s="20" t="s">
        <v>262</v>
      </c>
      <c r="E17" s="20" t="s">
        <v>263</v>
      </c>
      <c r="F17" s="20">
        <v>1000.0</v>
      </c>
      <c r="G17" s="20">
        <v>32500.0</v>
      </c>
      <c r="H17" s="19"/>
      <c r="I17" s="19"/>
      <c r="J17" s="8">
        <f t="shared" si="1"/>
        <v>0</v>
      </c>
      <c r="K17" s="8">
        <f t="shared" si="2"/>
        <v>1000</v>
      </c>
      <c r="L17" s="8">
        <f t="shared" si="3"/>
        <v>32500</v>
      </c>
      <c r="M17" s="8">
        <f t="shared" si="4"/>
        <v>32.5</v>
      </c>
    </row>
    <row r="18">
      <c r="A18" s="19"/>
      <c r="B18" s="20" t="s">
        <v>183</v>
      </c>
      <c r="C18" s="8" t="str">
        <f t="array" ref="C18">IF(B18="","",IFERROR(INDEX('Item Master'!$B:$B,MATCH(B18,'Item Master'!$A:$A,0)),""))</f>
        <v>Elephent Cement</v>
      </c>
      <c r="D18" s="20" t="s">
        <v>244</v>
      </c>
      <c r="E18" s="19"/>
      <c r="F18" s="20"/>
      <c r="G18" s="20"/>
      <c r="H18" s="20">
        <v>210.0</v>
      </c>
      <c r="I18" s="20">
        <v>7000.0</v>
      </c>
      <c r="J18" s="8">
        <f t="shared" si="1"/>
        <v>6825</v>
      </c>
      <c r="K18" s="8">
        <f t="shared" si="2"/>
        <v>790</v>
      </c>
      <c r="L18" s="8">
        <f t="shared" si="3"/>
        <v>25500</v>
      </c>
      <c r="M18" s="8">
        <f t="shared" si="4"/>
        <v>32.27848101</v>
      </c>
    </row>
    <row r="19">
      <c r="A19" s="19"/>
      <c r="B19" s="19"/>
      <c r="C19" s="8" t="str">
        <f t="array" ref="C19">IF(B19="","",IFERROR(INDEX('Item Master'!$B:$B,MATCH(B19,'Item Master'!$A:$A,0)),""))</f>
        <v/>
      </c>
      <c r="D19" s="19"/>
      <c r="E19" s="19"/>
      <c r="F19" s="19"/>
      <c r="G19" s="19"/>
      <c r="H19" s="19"/>
      <c r="I19" s="19"/>
      <c r="J19" s="8">
        <f t="shared" si="1"/>
        <v>0</v>
      </c>
      <c r="K19" s="8" t="str">
        <f t="shared" si="2"/>
        <v/>
      </c>
      <c r="L19" s="8" t="str">
        <f t="shared" si="3"/>
        <v/>
      </c>
      <c r="M19" s="8">
        <f t="shared" si="4"/>
        <v>0</v>
      </c>
    </row>
    <row r="20">
      <c r="A20" s="19"/>
      <c r="B20" s="19"/>
      <c r="C20" s="8" t="str">
        <f t="array" ref="C20">IF(B20="","",IFERROR(INDEX('Item Master'!$B:$B,MATCH(B20,'Item Master'!$A:$A,0)),""))</f>
        <v/>
      </c>
      <c r="D20" s="19"/>
      <c r="E20" s="19"/>
      <c r="F20" s="19"/>
      <c r="G20" s="19"/>
      <c r="H20" s="19"/>
      <c r="I20" s="19"/>
      <c r="J20" s="8">
        <f t="shared" si="1"/>
        <v>0</v>
      </c>
      <c r="K20" s="8" t="str">
        <f t="shared" si="2"/>
        <v/>
      </c>
      <c r="L20" s="8" t="str">
        <f t="shared" si="3"/>
        <v/>
      </c>
      <c r="M20" s="8">
        <f t="shared" si="4"/>
        <v>0</v>
      </c>
    </row>
    <row r="21" ht="15.75" customHeight="1">
      <c r="A21" s="19"/>
      <c r="B21" s="19"/>
      <c r="C21" s="8" t="str">
        <f t="array" ref="C21">IF(B21="","",IFERROR(INDEX('Item Master'!$B:$B,MATCH(B21,'Item Master'!$A:$A,0)),""))</f>
        <v/>
      </c>
      <c r="D21" s="19"/>
      <c r="E21" s="19"/>
      <c r="F21" s="19"/>
      <c r="G21" s="19"/>
      <c r="H21" s="19"/>
      <c r="I21" s="19"/>
      <c r="J21" s="8">
        <f t="shared" si="1"/>
        <v>0</v>
      </c>
      <c r="K21" s="8" t="str">
        <f t="shared" si="2"/>
        <v/>
      </c>
      <c r="L21" s="8" t="str">
        <f t="shared" si="3"/>
        <v/>
      </c>
      <c r="M21" s="8">
        <f t="shared" si="4"/>
        <v>0</v>
      </c>
    </row>
    <row r="22" ht="15.75" customHeight="1">
      <c r="A22" s="19"/>
      <c r="B22" s="19"/>
      <c r="C22" s="8" t="str">
        <f t="array" ref="C22">IF(B22="","",IFERROR(INDEX('Item Master'!$B:$B,MATCH(B22,'Item Master'!$A:$A,0)),""))</f>
        <v/>
      </c>
      <c r="D22" s="19"/>
      <c r="E22" s="19"/>
      <c r="F22" s="19"/>
      <c r="G22" s="19"/>
      <c r="H22" s="19"/>
      <c r="I22" s="19"/>
      <c r="J22" s="8">
        <f t="shared" si="1"/>
        <v>0</v>
      </c>
      <c r="K22" s="8" t="str">
        <f t="shared" si="2"/>
        <v/>
      </c>
      <c r="L22" s="8" t="str">
        <f t="shared" si="3"/>
        <v/>
      </c>
      <c r="M22" s="8">
        <f t="shared" si="4"/>
        <v>0</v>
      </c>
    </row>
    <row r="23" ht="15.75" customHeight="1">
      <c r="A23" s="19"/>
      <c r="B23" s="19"/>
      <c r="C23" s="8" t="str">
        <f t="array" ref="C23">IF(B23="","",IFERROR(INDEX('Item Master'!$B:$B,MATCH(B23,'Item Master'!$A:$A,0)),""))</f>
        <v/>
      </c>
      <c r="D23" s="19"/>
      <c r="E23" s="19"/>
      <c r="F23" s="19"/>
      <c r="G23" s="19"/>
      <c r="H23" s="19"/>
      <c r="I23" s="19"/>
      <c r="J23" s="8">
        <f t="shared" si="1"/>
        <v>0</v>
      </c>
      <c r="K23" s="8" t="str">
        <f t="shared" si="2"/>
        <v/>
      </c>
      <c r="L23" s="8" t="str">
        <f t="shared" si="3"/>
        <v/>
      </c>
      <c r="M23" s="8">
        <f t="shared" si="4"/>
        <v>0</v>
      </c>
    </row>
    <row r="24" ht="15.75" customHeight="1">
      <c r="A24" s="19"/>
      <c r="B24" s="19"/>
      <c r="C24" s="8" t="str">
        <f t="array" ref="C24">IF(B24="","",IFERROR(INDEX('Item Master'!$B:$B,MATCH(B24,'Item Master'!$A:$A,0)),""))</f>
        <v/>
      </c>
      <c r="D24" s="19"/>
      <c r="E24" s="19"/>
      <c r="F24" s="19"/>
      <c r="G24" s="19"/>
      <c r="H24" s="19"/>
      <c r="I24" s="19"/>
      <c r="J24" s="8">
        <f t="shared" si="1"/>
        <v>0</v>
      </c>
      <c r="K24" s="8" t="str">
        <f t="shared" si="2"/>
        <v/>
      </c>
      <c r="L24" s="8" t="str">
        <f t="shared" si="3"/>
        <v/>
      </c>
      <c r="M24" s="8">
        <f t="shared" si="4"/>
        <v>0</v>
      </c>
    </row>
    <row r="25" ht="15.75" customHeight="1">
      <c r="A25" s="19"/>
      <c r="B25" s="19"/>
      <c r="C25" s="8" t="str">
        <f t="array" ref="C25">IF(B25="","",IFERROR(INDEX('Item Master'!$B:$B,MATCH(B25,'Item Master'!$A:$A,0)),""))</f>
        <v/>
      </c>
      <c r="D25" s="19"/>
      <c r="E25" s="19"/>
      <c r="F25" s="19"/>
      <c r="G25" s="19"/>
      <c r="H25" s="19"/>
      <c r="I25" s="19"/>
      <c r="J25" s="8">
        <f t="shared" si="1"/>
        <v>0</v>
      </c>
      <c r="K25" s="8" t="str">
        <f t="shared" si="2"/>
        <v/>
      </c>
      <c r="L25" s="8" t="str">
        <f t="shared" si="3"/>
        <v/>
      </c>
      <c r="M25" s="8">
        <f t="shared" si="4"/>
        <v>0</v>
      </c>
    </row>
    <row r="26" ht="15.75" customHeight="1">
      <c r="A26" s="19"/>
      <c r="B26" s="19"/>
      <c r="C26" s="8" t="str">
        <f t="array" ref="C26">IF(B26="","",IFERROR(INDEX('Item Master'!$B:$B,MATCH(B26,'Item Master'!$A:$A,0)),""))</f>
        <v/>
      </c>
      <c r="D26" s="19"/>
      <c r="E26" s="19"/>
      <c r="F26" s="19"/>
      <c r="G26" s="19"/>
      <c r="H26" s="19"/>
      <c r="I26" s="19"/>
      <c r="J26" s="8">
        <f t="shared" si="1"/>
        <v>0</v>
      </c>
      <c r="K26" s="8" t="str">
        <f t="shared" si="2"/>
        <v/>
      </c>
      <c r="L26" s="8" t="str">
        <f t="shared" si="3"/>
        <v/>
      </c>
      <c r="M26" s="8">
        <f t="shared" si="4"/>
        <v>0</v>
      </c>
    </row>
    <row r="27" ht="15.75" customHeight="1">
      <c r="A27" s="19"/>
      <c r="B27" s="19"/>
      <c r="C27" s="8" t="str">
        <f t="array" ref="C27">IF(B27="","",IFERROR(INDEX('Item Master'!$B:$B,MATCH(B27,'Item Master'!$A:$A,0)),""))</f>
        <v/>
      </c>
      <c r="D27" s="19"/>
      <c r="E27" s="19"/>
      <c r="F27" s="19"/>
      <c r="G27" s="19"/>
      <c r="H27" s="19"/>
      <c r="I27" s="19"/>
      <c r="J27" s="8">
        <f t="shared" si="1"/>
        <v>0</v>
      </c>
      <c r="K27" s="8" t="str">
        <f t="shared" si="2"/>
        <v/>
      </c>
      <c r="L27" s="8" t="str">
        <f t="shared" si="3"/>
        <v/>
      </c>
      <c r="M27" s="8">
        <f t="shared" si="4"/>
        <v>0</v>
      </c>
    </row>
    <row r="28" ht="15.75" customHeight="1">
      <c r="A28" s="19"/>
      <c r="B28" s="19"/>
      <c r="C28" s="8" t="str">
        <f t="array" ref="C28">IF(B28="","",IFERROR(INDEX('Item Master'!$B:$B,MATCH(B28,'Item Master'!$A:$A,0)),""))</f>
        <v/>
      </c>
      <c r="D28" s="19"/>
      <c r="E28" s="19"/>
      <c r="F28" s="19"/>
      <c r="G28" s="19"/>
      <c r="H28" s="19"/>
      <c r="I28" s="19"/>
      <c r="J28" s="8">
        <f t="shared" si="1"/>
        <v>0</v>
      </c>
      <c r="K28" s="8" t="str">
        <f t="shared" si="2"/>
        <v/>
      </c>
      <c r="L28" s="8" t="str">
        <f t="shared" si="3"/>
        <v/>
      </c>
      <c r="M28" s="8">
        <f t="shared" si="4"/>
        <v>0</v>
      </c>
    </row>
    <row r="29" ht="15.75" customHeight="1">
      <c r="A29" s="19"/>
      <c r="B29" s="19"/>
      <c r="C29" s="8" t="str">
        <f t="array" ref="C29">IF(B29="","",IFERROR(INDEX('Item Master'!$B:$B,MATCH(B29,'Item Master'!$A:$A,0)),""))</f>
        <v/>
      </c>
      <c r="D29" s="19"/>
      <c r="E29" s="19"/>
      <c r="F29" s="19"/>
      <c r="G29" s="19"/>
      <c r="H29" s="19"/>
      <c r="I29" s="19"/>
      <c r="J29" s="8">
        <f t="shared" si="1"/>
        <v>0</v>
      </c>
      <c r="K29" s="8" t="str">
        <f t="shared" si="2"/>
        <v/>
      </c>
      <c r="L29" s="8" t="str">
        <f t="shared" si="3"/>
        <v/>
      </c>
      <c r="M29" s="8">
        <f t="shared" si="4"/>
        <v>0</v>
      </c>
    </row>
    <row r="30" ht="15.75" customHeight="1">
      <c r="A30" s="19"/>
      <c r="B30" s="19"/>
      <c r="C30" s="8" t="str">
        <f t="array" ref="C30">IF(B30="","",IFERROR(INDEX('Item Master'!$B:$B,MATCH(B30,'Item Master'!$A:$A,0)),""))</f>
        <v/>
      </c>
      <c r="D30" s="19"/>
      <c r="E30" s="19"/>
      <c r="F30" s="19"/>
      <c r="G30" s="19"/>
      <c r="H30" s="19"/>
      <c r="I30" s="19"/>
      <c r="J30" s="8">
        <f t="shared" si="1"/>
        <v>0</v>
      </c>
      <c r="K30" s="8" t="str">
        <f t="shared" si="2"/>
        <v/>
      </c>
      <c r="L30" s="8" t="str">
        <f t="shared" si="3"/>
        <v/>
      </c>
      <c r="M30" s="8">
        <f t="shared" si="4"/>
        <v>0</v>
      </c>
    </row>
    <row r="31" ht="15.75" customHeight="1">
      <c r="A31" s="19"/>
      <c r="B31" s="19"/>
      <c r="C31" s="8" t="str">
        <f t="array" ref="C31">IF(B31="","",IFERROR(INDEX('Item Master'!$B:$B,MATCH(B31,'Item Master'!$A:$A,0)),""))</f>
        <v/>
      </c>
      <c r="D31" s="19"/>
      <c r="E31" s="19"/>
      <c r="F31" s="19"/>
      <c r="G31" s="19"/>
      <c r="H31" s="19"/>
      <c r="I31" s="19"/>
      <c r="J31" s="8">
        <f t="shared" si="1"/>
        <v>0</v>
      </c>
      <c r="K31" s="8" t="str">
        <f t="shared" si="2"/>
        <v/>
      </c>
      <c r="L31" s="8" t="str">
        <f t="shared" si="3"/>
        <v/>
      </c>
      <c r="M31" s="8">
        <f t="shared" si="4"/>
        <v>0</v>
      </c>
    </row>
    <row r="32" ht="15.75" customHeight="1">
      <c r="A32" s="19"/>
      <c r="B32" s="19"/>
      <c r="C32" s="8" t="str">
        <f t="array" ref="C32">IF(B32="","",IFERROR(INDEX('Item Master'!$B:$B,MATCH(B32,'Item Master'!$A:$A,0)),""))</f>
        <v/>
      </c>
      <c r="D32" s="19"/>
      <c r="E32" s="19"/>
      <c r="F32" s="19"/>
      <c r="G32" s="19"/>
      <c r="H32" s="19"/>
      <c r="I32" s="19"/>
      <c r="J32" s="8">
        <f t="shared" si="1"/>
        <v>0</v>
      </c>
      <c r="K32" s="8" t="str">
        <f t="shared" si="2"/>
        <v/>
      </c>
      <c r="L32" s="8" t="str">
        <f t="shared" si="3"/>
        <v/>
      </c>
      <c r="M32" s="8">
        <f t="shared" si="4"/>
        <v>0</v>
      </c>
    </row>
    <row r="33" ht="15.75" customHeight="1">
      <c r="A33" s="19"/>
      <c r="B33" s="19"/>
      <c r="C33" s="8" t="str">
        <f t="array" ref="C33">IF(B33="","",IFERROR(INDEX('Item Master'!$B:$B,MATCH(B33,'Item Master'!$A:$A,0)),""))</f>
        <v/>
      </c>
      <c r="D33" s="19"/>
      <c r="E33" s="19"/>
      <c r="F33" s="19"/>
      <c r="G33" s="19"/>
      <c r="H33" s="19"/>
      <c r="I33" s="19"/>
      <c r="J33" s="8">
        <f t="shared" si="1"/>
        <v>0</v>
      </c>
      <c r="K33" s="8" t="str">
        <f t="shared" si="2"/>
        <v/>
      </c>
      <c r="L33" s="8" t="str">
        <f t="shared" si="3"/>
        <v/>
      </c>
      <c r="M33" s="8">
        <f t="shared" si="4"/>
        <v>0</v>
      </c>
    </row>
    <row r="34" ht="15.75" customHeight="1">
      <c r="A34" s="19"/>
      <c r="B34" s="19"/>
      <c r="C34" s="8" t="str">
        <f t="array" ref="C34">IF(B34="","",IFERROR(INDEX('Item Master'!$B:$B,MATCH(B34,'Item Master'!$A:$A,0)),""))</f>
        <v/>
      </c>
      <c r="D34" s="19"/>
      <c r="E34" s="19"/>
      <c r="F34" s="19"/>
      <c r="G34" s="19"/>
      <c r="H34" s="19"/>
      <c r="I34" s="19"/>
      <c r="J34" s="8">
        <f t="shared" si="1"/>
        <v>0</v>
      </c>
      <c r="K34" s="8" t="str">
        <f t="shared" si="2"/>
        <v/>
      </c>
      <c r="L34" s="8" t="str">
        <f t="shared" si="3"/>
        <v/>
      </c>
      <c r="M34" s="8">
        <f t="shared" si="4"/>
        <v>0</v>
      </c>
    </row>
    <row r="35" ht="15.75" customHeight="1">
      <c r="A35" s="19"/>
      <c r="B35" s="19"/>
      <c r="C35" s="8" t="str">
        <f t="array" ref="C35">IF(B35="","",IFERROR(INDEX('Item Master'!$B:$B,MATCH(B35,'Item Master'!$A:$A,0)),""))</f>
        <v/>
      </c>
      <c r="D35" s="19"/>
      <c r="E35" s="19"/>
      <c r="F35" s="19"/>
      <c r="G35" s="19"/>
      <c r="H35" s="19"/>
      <c r="I35" s="19"/>
      <c r="J35" s="8">
        <f t="shared" si="1"/>
        <v>0</v>
      </c>
      <c r="K35" s="8" t="str">
        <f t="shared" si="2"/>
        <v/>
      </c>
      <c r="L35" s="8" t="str">
        <f t="shared" si="3"/>
        <v/>
      </c>
      <c r="M35" s="8">
        <f t="shared" si="4"/>
        <v>0</v>
      </c>
    </row>
    <row r="36" ht="15.75" customHeight="1">
      <c r="A36" s="19"/>
      <c r="B36" s="19"/>
      <c r="C36" s="8" t="str">
        <f t="array" ref="C36">IF(B36="","",IFERROR(INDEX('Item Master'!$B:$B,MATCH(B36,'Item Master'!$A:$A,0)),""))</f>
        <v/>
      </c>
      <c r="D36" s="19"/>
      <c r="E36" s="19"/>
      <c r="F36" s="19"/>
      <c r="G36" s="19"/>
      <c r="H36" s="19"/>
      <c r="I36" s="19"/>
      <c r="J36" s="8">
        <f t="shared" si="1"/>
        <v>0</v>
      </c>
      <c r="K36" s="8" t="str">
        <f t="shared" si="2"/>
        <v/>
      </c>
      <c r="L36" s="8" t="str">
        <f t="shared" si="3"/>
        <v/>
      </c>
      <c r="M36" s="8">
        <f t="shared" si="4"/>
        <v>0</v>
      </c>
    </row>
    <row r="37" ht="15.75" customHeight="1">
      <c r="A37" s="19"/>
      <c r="B37" s="19"/>
      <c r="C37" s="8" t="str">
        <f t="array" ref="C37">IF(B37="","",IFERROR(INDEX('Item Master'!$B:$B,MATCH(B37,'Item Master'!$A:$A,0)),""))</f>
        <v/>
      </c>
      <c r="D37" s="19"/>
      <c r="E37" s="19"/>
      <c r="F37" s="19"/>
      <c r="G37" s="19"/>
      <c r="H37" s="19"/>
      <c r="I37" s="19"/>
      <c r="J37" s="8">
        <f t="shared" si="1"/>
        <v>0</v>
      </c>
      <c r="K37" s="8" t="str">
        <f t="shared" si="2"/>
        <v/>
      </c>
      <c r="L37" s="8" t="str">
        <f t="shared" si="3"/>
        <v/>
      </c>
      <c r="M37" s="8">
        <f t="shared" si="4"/>
        <v>0</v>
      </c>
    </row>
    <row r="38" ht="15.75" customHeight="1">
      <c r="A38" s="19"/>
      <c r="B38" s="19"/>
      <c r="C38" s="8" t="str">
        <f t="array" ref="C38">IF(B38="","",IFERROR(INDEX('Item Master'!$B:$B,MATCH(B38,'Item Master'!$A:$A,0)),""))</f>
        <v/>
      </c>
      <c r="D38" s="19"/>
      <c r="E38" s="19"/>
      <c r="F38" s="19"/>
      <c r="G38" s="19"/>
      <c r="H38" s="19"/>
      <c r="I38" s="19"/>
      <c r="J38" s="8">
        <f t="shared" si="1"/>
        <v>0</v>
      </c>
      <c r="K38" s="8" t="str">
        <f t="shared" si="2"/>
        <v/>
      </c>
      <c r="L38" s="8" t="str">
        <f t="shared" si="3"/>
        <v/>
      </c>
      <c r="M38" s="8">
        <f t="shared" si="4"/>
        <v>0</v>
      </c>
    </row>
    <row r="39" ht="15.75" customHeight="1">
      <c r="A39" s="19"/>
      <c r="B39" s="19"/>
      <c r="C39" s="8" t="str">
        <f t="array" ref="C39">IF(B39="","",IFERROR(INDEX('Item Master'!$B:$B,MATCH(B39,'Item Master'!$A:$A,0)),""))</f>
        <v/>
      </c>
      <c r="D39" s="19"/>
      <c r="E39" s="19"/>
      <c r="F39" s="19"/>
      <c r="G39" s="19"/>
      <c r="H39" s="19"/>
      <c r="I39" s="19"/>
      <c r="J39" s="8">
        <f t="shared" si="1"/>
        <v>0</v>
      </c>
      <c r="K39" s="8" t="str">
        <f t="shared" si="2"/>
        <v/>
      </c>
      <c r="L39" s="8" t="str">
        <f t="shared" si="3"/>
        <v/>
      </c>
      <c r="M39" s="8">
        <f t="shared" si="4"/>
        <v>0</v>
      </c>
    </row>
    <row r="40" ht="15.75" customHeight="1">
      <c r="A40" s="19"/>
      <c r="B40" s="19"/>
      <c r="C40" s="8" t="str">
        <f t="array" ref="C40">IF(B40="","",IFERROR(INDEX('Item Master'!$B:$B,MATCH(B40,'Item Master'!$A:$A,0)),""))</f>
        <v/>
      </c>
      <c r="D40" s="19"/>
      <c r="E40" s="19"/>
      <c r="F40" s="19"/>
      <c r="G40" s="19"/>
      <c r="H40" s="19"/>
      <c r="I40" s="19"/>
      <c r="J40" s="8">
        <f t="shared" si="1"/>
        <v>0</v>
      </c>
      <c r="K40" s="8" t="str">
        <f t="shared" si="2"/>
        <v/>
      </c>
      <c r="L40" s="8" t="str">
        <f t="shared" si="3"/>
        <v/>
      </c>
      <c r="M40" s="8">
        <f t="shared" si="4"/>
        <v>0</v>
      </c>
    </row>
    <row r="41" ht="15.75" customHeight="1">
      <c r="A41" s="19"/>
      <c r="B41" s="19"/>
      <c r="C41" s="8" t="str">
        <f t="array" ref="C41">IF(B41="","",IFERROR(INDEX('Item Master'!$B:$B,MATCH(B41,'Item Master'!$A:$A,0)),""))</f>
        <v/>
      </c>
      <c r="D41" s="19"/>
      <c r="E41" s="19"/>
      <c r="F41" s="19"/>
      <c r="G41" s="19"/>
      <c r="H41" s="19"/>
      <c r="I41" s="19"/>
      <c r="J41" s="8">
        <f t="shared" si="1"/>
        <v>0</v>
      </c>
      <c r="K41" s="8" t="str">
        <f t="shared" si="2"/>
        <v/>
      </c>
      <c r="L41" s="8" t="str">
        <f t="shared" si="3"/>
        <v/>
      </c>
      <c r="M41" s="8">
        <f t="shared" si="4"/>
        <v>0</v>
      </c>
    </row>
    <row r="42" ht="15.75" customHeight="1">
      <c r="A42" s="19"/>
      <c r="B42" s="19"/>
      <c r="C42" s="8" t="str">
        <f t="array" ref="C42">IF(B42="","",IFERROR(INDEX('Item Master'!$B:$B,MATCH(B42,'Item Master'!$A:$A,0)),""))</f>
        <v/>
      </c>
      <c r="D42" s="19"/>
      <c r="E42" s="19"/>
      <c r="F42" s="19"/>
      <c r="G42" s="19"/>
      <c r="H42" s="19"/>
      <c r="I42" s="19"/>
      <c r="J42" s="8">
        <f t="shared" si="1"/>
        <v>0</v>
      </c>
      <c r="K42" s="8" t="str">
        <f t="shared" si="2"/>
        <v/>
      </c>
      <c r="L42" s="8" t="str">
        <f t="shared" si="3"/>
        <v/>
      </c>
      <c r="M42" s="8">
        <f t="shared" si="4"/>
        <v>0</v>
      </c>
    </row>
    <row r="43" ht="15.75" customHeight="1">
      <c r="A43" s="19"/>
      <c r="B43" s="19"/>
      <c r="C43" s="8" t="str">
        <f t="array" ref="C43">IF(B43="","",IFERROR(INDEX('Item Master'!$B:$B,MATCH(B43,'Item Master'!$A:$A,0)),""))</f>
        <v/>
      </c>
      <c r="D43" s="19"/>
      <c r="E43" s="19"/>
      <c r="F43" s="19"/>
      <c r="G43" s="19"/>
      <c r="H43" s="19"/>
      <c r="I43" s="19"/>
      <c r="J43" s="8">
        <f t="shared" si="1"/>
        <v>0</v>
      </c>
      <c r="K43" s="8" t="str">
        <f t="shared" si="2"/>
        <v/>
      </c>
      <c r="L43" s="8" t="str">
        <f t="shared" si="3"/>
        <v/>
      </c>
      <c r="M43" s="8">
        <f t="shared" si="4"/>
        <v>0</v>
      </c>
    </row>
    <row r="44" ht="15.75" customHeight="1">
      <c r="A44" s="19"/>
      <c r="B44" s="19"/>
      <c r="C44" s="8" t="str">
        <f t="array" ref="C44">IF(B44="","",IFERROR(INDEX('Item Master'!$B:$B,MATCH(B44,'Item Master'!$A:$A,0)),""))</f>
        <v/>
      </c>
      <c r="D44" s="19"/>
      <c r="E44" s="19"/>
      <c r="F44" s="19"/>
      <c r="G44" s="19"/>
      <c r="H44" s="19"/>
      <c r="I44" s="19"/>
      <c r="J44" s="8">
        <f t="shared" si="1"/>
        <v>0</v>
      </c>
      <c r="K44" s="8" t="str">
        <f t="shared" si="2"/>
        <v/>
      </c>
      <c r="L44" s="8" t="str">
        <f t="shared" si="3"/>
        <v/>
      </c>
      <c r="M44" s="8">
        <f t="shared" si="4"/>
        <v>0</v>
      </c>
    </row>
    <row r="45" ht="15.75" customHeight="1">
      <c r="A45" s="19"/>
      <c r="B45" s="19"/>
      <c r="C45" s="8" t="str">
        <f t="array" ref="C45">IF(B45="","",IFERROR(INDEX('Item Master'!$B:$B,MATCH(B45,'Item Master'!$A:$A,0)),""))</f>
        <v/>
      </c>
      <c r="D45" s="19"/>
      <c r="E45" s="19"/>
      <c r="F45" s="19"/>
      <c r="G45" s="19"/>
      <c r="H45" s="19"/>
      <c r="I45" s="19"/>
      <c r="J45" s="8">
        <f t="shared" si="1"/>
        <v>0</v>
      </c>
      <c r="K45" s="8" t="str">
        <f t="shared" si="2"/>
        <v/>
      </c>
      <c r="L45" s="8" t="str">
        <f t="shared" si="3"/>
        <v/>
      </c>
      <c r="M45" s="8">
        <f t="shared" si="4"/>
        <v>0</v>
      </c>
    </row>
    <row r="46" ht="15.75" customHeight="1">
      <c r="A46" s="19"/>
      <c r="B46" s="19"/>
      <c r="C46" s="8" t="str">
        <f t="array" ref="C46">IF(B46="","",IFERROR(INDEX('Item Master'!$B:$B,MATCH(B46,'Item Master'!$A:$A,0)),""))</f>
        <v/>
      </c>
      <c r="D46" s="19"/>
      <c r="E46" s="19"/>
      <c r="F46" s="19"/>
      <c r="G46" s="19"/>
      <c r="H46" s="19"/>
      <c r="I46" s="19"/>
      <c r="J46" s="8">
        <f t="shared" si="1"/>
        <v>0</v>
      </c>
      <c r="K46" s="8" t="str">
        <f t="shared" si="2"/>
        <v/>
      </c>
      <c r="L46" s="8" t="str">
        <f t="shared" si="3"/>
        <v/>
      </c>
      <c r="M46" s="8">
        <f t="shared" si="4"/>
        <v>0</v>
      </c>
    </row>
    <row r="47" ht="15.75" customHeight="1">
      <c r="A47" s="19"/>
      <c r="B47" s="19"/>
      <c r="C47" s="8" t="str">
        <f t="array" ref="C47">IF(B47="","",IFERROR(INDEX('Item Master'!$B:$B,MATCH(B47,'Item Master'!$A:$A,0)),""))</f>
        <v/>
      </c>
      <c r="D47" s="19"/>
      <c r="E47" s="19"/>
      <c r="F47" s="19"/>
      <c r="G47" s="19"/>
      <c r="H47" s="19"/>
      <c r="I47" s="19"/>
      <c r="J47" s="8">
        <f t="shared" si="1"/>
        <v>0</v>
      </c>
      <c r="K47" s="8" t="str">
        <f t="shared" si="2"/>
        <v/>
      </c>
      <c r="L47" s="8" t="str">
        <f t="shared" si="3"/>
        <v/>
      </c>
      <c r="M47" s="8">
        <f t="shared" si="4"/>
        <v>0</v>
      </c>
    </row>
    <row r="48" ht="15.75" customHeight="1">
      <c r="A48" s="19"/>
      <c r="B48" s="19"/>
      <c r="C48" s="8" t="str">
        <f t="array" ref="C48">IF(B48="","",IFERROR(INDEX('Item Master'!$B:$B,MATCH(B48,'Item Master'!$A:$A,0)),""))</f>
        <v/>
      </c>
      <c r="D48" s="19"/>
      <c r="E48" s="19"/>
      <c r="F48" s="19"/>
      <c r="G48" s="19"/>
      <c r="H48" s="19"/>
      <c r="I48" s="19"/>
      <c r="J48" s="8">
        <f t="shared" si="1"/>
        <v>0</v>
      </c>
      <c r="K48" s="8" t="str">
        <f t="shared" si="2"/>
        <v/>
      </c>
      <c r="L48" s="8" t="str">
        <f t="shared" si="3"/>
        <v/>
      </c>
      <c r="M48" s="8">
        <f t="shared" si="4"/>
        <v>0</v>
      </c>
    </row>
    <row r="49" ht="15.75" customHeight="1">
      <c r="A49" s="19"/>
      <c r="B49" s="19"/>
      <c r="C49" s="8" t="str">
        <f t="array" ref="C49">IF(B49="","",IFERROR(INDEX('Item Master'!$B:$B,MATCH(B49,'Item Master'!$A:$A,0)),""))</f>
        <v/>
      </c>
      <c r="D49" s="19"/>
      <c r="E49" s="19"/>
      <c r="F49" s="19"/>
      <c r="G49" s="19"/>
      <c r="H49" s="19"/>
      <c r="I49" s="19"/>
      <c r="J49" s="8">
        <f t="shared" si="1"/>
        <v>0</v>
      </c>
      <c r="K49" s="8" t="str">
        <f t="shared" si="2"/>
        <v/>
      </c>
      <c r="L49" s="8" t="str">
        <f t="shared" si="3"/>
        <v/>
      </c>
      <c r="M49" s="8">
        <f t="shared" si="4"/>
        <v>0</v>
      </c>
    </row>
    <row r="50" ht="15.75" customHeight="1">
      <c r="A50" s="19"/>
      <c r="B50" s="19"/>
      <c r="C50" s="8" t="str">
        <f t="array" ref="C50">IF(B50="","",IFERROR(INDEX('Item Master'!$B:$B,MATCH(B50,'Item Master'!$A:$A,0)),""))</f>
        <v/>
      </c>
      <c r="D50" s="19"/>
      <c r="E50" s="19"/>
      <c r="F50" s="19"/>
      <c r="G50" s="19"/>
      <c r="H50" s="19"/>
      <c r="I50" s="19"/>
      <c r="J50" s="8">
        <f t="shared" si="1"/>
        <v>0</v>
      </c>
      <c r="K50" s="8" t="str">
        <f t="shared" si="2"/>
        <v/>
      </c>
      <c r="L50" s="8" t="str">
        <f t="shared" si="3"/>
        <v/>
      </c>
      <c r="M50" s="8">
        <f t="shared" si="4"/>
        <v>0</v>
      </c>
    </row>
    <row r="51" ht="15.75" customHeight="1">
      <c r="A51" s="19"/>
      <c r="B51" s="19"/>
      <c r="C51" s="8" t="str">
        <f t="array" ref="C51">IF(B51="","",IFERROR(INDEX('Item Master'!$B:$B,MATCH(B51,'Item Master'!$A:$A,0)),""))</f>
        <v/>
      </c>
      <c r="D51" s="19"/>
      <c r="E51" s="19"/>
      <c r="F51" s="19"/>
      <c r="G51" s="19"/>
      <c r="H51" s="19"/>
      <c r="I51" s="19"/>
      <c r="J51" s="8">
        <f t="shared" si="1"/>
        <v>0</v>
      </c>
      <c r="K51" s="8" t="str">
        <f t="shared" si="2"/>
        <v/>
      </c>
      <c r="L51" s="8" t="str">
        <f t="shared" si="3"/>
        <v/>
      </c>
      <c r="M51" s="8">
        <f t="shared" si="4"/>
        <v>0</v>
      </c>
    </row>
    <row r="52" ht="15.75" customHeight="1">
      <c r="A52" s="19"/>
      <c r="B52" s="19"/>
      <c r="C52" s="8" t="str">
        <f t="array" ref="C52">IF(B52="","",IFERROR(INDEX('Item Master'!$B:$B,MATCH(B52,'Item Master'!$A:$A,0)),""))</f>
        <v/>
      </c>
      <c r="D52" s="19"/>
      <c r="E52" s="19"/>
      <c r="F52" s="19"/>
      <c r="G52" s="19"/>
      <c r="H52" s="19"/>
      <c r="I52" s="19"/>
      <c r="J52" s="8">
        <f t="shared" si="1"/>
        <v>0</v>
      </c>
      <c r="K52" s="8" t="str">
        <f t="shared" si="2"/>
        <v/>
      </c>
      <c r="L52" s="8" t="str">
        <f t="shared" si="3"/>
        <v/>
      </c>
      <c r="M52" s="8">
        <f t="shared" si="4"/>
        <v>0</v>
      </c>
    </row>
    <row r="53" ht="15.75" customHeight="1">
      <c r="A53" s="19"/>
      <c r="B53" s="19"/>
      <c r="C53" s="8" t="str">
        <f t="array" ref="C53">IF(B53="","",IFERROR(INDEX('Item Master'!$B:$B,MATCH(B53,'Item Master'!$A:$A,0)),""))</f>
        <v/>
      </c>
      <c r="D53" s="19"/>
      <c r="E53" s="19"/>
      <c r="F53" s="19"/>
      <c r="G53" s="19"/>
      <c r="H53" s="19"/>
      <c r="I53" s="19"/>
      <c r="J53" s="8">
        <f t="shared" si="1"/>
        <v>0</v>
      </c>
      <c r="K53" s="8" t="str">
        <f t="shared" si="2"/>
        <v/>
      </c>
      <c r="L53" s="8" t="str">
        <f t="shared" si="3"/>
        <v/>
      </c>
      <c r="M53" s="8">
        <f t="shared" si="4"/>
        <v>0</v>
      </c>
    </row>
    <row r="54" ht="15.75" customHeight="1">
      <c r="A54" s="19"/>
      <c r="B54" s="19"/>
      <c r="C54" s="8" t="str">
        <f t="array" ref="C54">IF(B54="","",IFERROR(INDEX('Item Master'!$B:$B,MATCH(B54,'Item Master'!$A:$A,0)),""))</f>
        <v/>
      </c>
      <c r="D54" s="19"/>
      <c r="E54" s="19"/>
      <c r="F54" s="19"/>
      <c r="G54" s="19"/>
      <c r="H54" s="19"/>
      <c r="I54" s="19"/>
      <c r="J54" s="8">
        <f t="shared" si="1"/>
        <v>0</v>
      </c>
      <c r="K54" s="8" t="str">
        <f t="shared" si="2"/>
        <v/>
      </c>
      <c r="L54" s="8" t="str">
        <f t="shared" si="3"/>
        <v/>
      </c>
      <c r="M54" s="8">
        <f t="shared" si="4"/>
        <v>0</v>
      </c>
    </row>
    <row r="55" ht="15.75" customHeight="1">
      <c r="A55" s="19"/>
      <c r="B55" s="19"/>
      <c r="C55" s="8" t="str">
        <f t="array" ref="C55">IF(B55="","",IFERROR(INDEX('Item Master'!$B:$B,MATCH(B55,'Item Master'!$A:$A,0)),""))</f>
        <v/>
      </c>
      <c r="D55" s="19"/>
      <c r="E55" s="19"/>
      <c r="F55" s="19"/>
      <c r="G55" s="19"/>
      <c r="H55" s="19"/>
      <c r="I55" s="19"/>
      <c r="J55" s="8">
        <f t="shared" si="1"/>
        <v>0</v>
      </c>
      <c r="K55" s="8" t="str">
        <f t="shared" si="2"/>
        <v/>
      </c>
      <c r="L55" s="8" t="str">
        <f t="shared" si="3"/>
        <v/>
      </c>
      <c r="M55" s="8">
        <f t="shared" si="4"/>
        <v>0</v>
      </c>
    </row>
    <row r="56" ht="15.75" customHeight="1">
      <c r="A56" s="19"/>
      <c r="B56" s="19"/>
      <c r="C56" s="8" t="str">
        <f t="array" ref="C56">IF(B56="","",IFERROR(INDEX('Item Master'!$B:$B,MATCH(B56,'Item Master'!$A:$A,0)),""))</f>
        <v/>
      </c>
      <c r="D56" s="19"/>
      <c r="E56" s="19"/>
      <c r="F56" s="19"/>
      <c r="G56" s="19"/>
      <c r="H56" s="19"/>
      <c r="I56" s="19"/>
      <c r="J56" s="8">
        <f t="shared" si="1"/>
        <v>0</v>
      </c>
      <c r="K56" s="8" t="str">
        <f t="shared" si="2"/>
        <v/>
      </c>
      <c r="L56" s="8" t="str">
        <f t="shared" si="3"/>
        <v/>
      </c>
      <c r="M56" s="8">
        <f t="shared" si="4"/>
        <v>0</v>
      </c>
    </row>
    <row r="57" ht="15.75" customHeight="1">
      <c r="A57" s="19"/>
      <c r="B57" s="19"/>
      <c r="C57" s="8" t="str">
        <f t="array" ref="C57">IF(B57="","",IFERROR(INDEX('Item Master'!$B:$B,MATCH(B57,'Item Master'!$A:$A,0)),""))</f>
        <v/>
      </c>
      <c r="D57" s="19"/>
      <c r="E57" s="19"/>
      <c r="F57" s="19"/>
      <c r="G57" s="19"/>
      <c r="H57" s="19"/>
      <c r="I57" s="19"/>
      <c r="J57" s="8">
        <f t="shared" si="1"/>
        <v>0</v>
      </c>
      <c r="K57" s="8" t="str">
        <f t="shared" si="2"/>
        <v/>
      </c>
      <c r="L57" s="8" t="str">
        <f t="shared" si="3"/>
        <v/>
      </c>
      <c r="M57" s="8">
        <f t="shared" si="4"/>
        <v>0</v>
      </c>
    </row>
    <row r="58" ht="15.75" customHeight="1">
      <c r="A58" s="19"/>
      <c r="B58" s="19"/>
      <c r="C58" s="8" t="str">
        <f t="array" ref="C58">IF(B58="","",IFERROR(INDEX('Item Master'!$B:$B,MATCH(B58,'Item Master'!$A:$A,0)),""))</f>
        <v/>
      </c>
      <c r="D58" s="19"/>
      <c r="E58" s="19"/>
      <c r="F58" s="19"/>
      <c r="G58" s="19"/>
      <c r="H58" s="19"/>
      <c r="I58" s="19"/>
      <c r="J58" s="8">
        <f t="shared" si="1"/>
        <v>0</v>
      </c>
      <c r="K58" s="8" t="str">
        <f t="shared" si="2"/>
        <v/>
      </c>
      <c r="L58" s="8" t="str">
        <f t="shared" si="3"/>
        <v/>
      </c>
      <c r="M58" s="8">
        <f t="shared" si="4"/>
        <v>0</v>
      </c>
    </row>
    <row r="59" ht="15.75" customHeight="1">
      <c r="A59" s="19"/>
      <c r="B59" s="19"/>
      <c r="C59" s="8" t="str">
        <f t="array" ref="C59">IF(B59="","",IFERROR(INDEX('Item Master'!$B:$B,MATCH(B59,'Item Master'!$A:$A,0)),""))</f>
        <v/>
      </c>
      <c r="D59" s="19"/>
      <c r="E59" s="19"/>
      <c r="F59" s="19"/>
      <c r="G59" s="19"/>
      <c r="H59" s="19"/>
      <c r="I59" s="19"/>
      <c r="J59" s="8">
        <f t="shared" si="1"/>
        <v>0</v>
      </c>
      <c r="K59" s="8" t="str">
        <f t="shared" si="2"/>
        <v/>
      </c>
      <c r="L59" s="8" t="str">
        <f t="shared" si="3"/>
        <v/>
      </c>
      <c r="M59" s="8">
        <f t="shared" si="4"/>
        <v>0</v>
      </c>
    </row>
    <row r="60" ht="15.75" customHeight="1">
      <c r="A60" s="19"/>
      <c r="B60" s="19"/>
      <c r="C60" s="8" t="str">
        <f t="array" ref="C60">IF(B60="","",IFERROR(INDEX('Item Master'!$B:$B,MATCH(B60,'Item Master'!$A:$A,0)),""))</f>
        <v/>
      </c>
      <c r="D60" s="19"/>
      <c r="E60" s="19"/>
      <c r="F60" s="19"/>
      <c r="G60" s="19"/>
      <c r="H60" s="19"/>
      <c r="I60" s="19"/>
      <c r="J60" s="8">
        <f t="shared" si="1"/>
        <v>0</v>
      </c>
      <c r="K60" s="8" t="str">
        <f t="shared" si="2"/>
        <v/>
      </c>
      <c r="L60" s="8" t="str">
        <f t="shared" si="3"/>
        <v/>
      </c>
      <c r="M60" s="8">
        <f t="shared" si="4"/>
        <v>0</v>
      </c>
    </row>
    <row r="61" ht="15.75" customHeight="1">
      <c r="A61" s="19"/>
      <c r="B61" s="19"/>
      <c r="C61" s="8" t="str">
        <f t="array" ref="C61">IF(B61="","",IFERROR(INDEX('Item Master'!$B:$B,MATCH(B61,'Item Master'!$A:$A,0)),""))</f>
        <v/>
      </c>
      <c r="D61" s="19"/>
      <c r="E61" s="19"/>
      <c r="F61" s="19"/>
      <c r="G61" s="19"/>
      <c r="H61" s="19"/>
      <c r="I61" s="19"/>
      <c r="J61" s="8">
        <f t="shared" si="1"/>
        <v>0</v>
      </c>
      <c r="K61" s="8" t="str">
        <f t="shared" si="2"/>
        <v/>
      </c>
      <c r="L61" s="8" t="str">
        <f t="shared" si="3"/>
        <v/>
      </c>
      <c r="M61" s="8">
        <f t="shared" si="4"/>
        <v>0</v>
      </c>
    </row>
    <row r="62" ht="15.75" customHeight="1">
      <c r="A62" s="19"/>
      <c r="B62" s="19"/>
      <c r="C62" s="8" t="str">
        <f t="array" ref="C62">IF(B62="","",IFERROR(INDEX('Item Master'!$B:$B,MATCH(B62,'Item Master'!$A:$A,0)),""))</f>
        <v/>
      </c>
      <c r="D62" s="19"/>
      <c r="E62" s="19"/>
      <c r="F62" s="19"/>
      <c r="G62" s="19"/>
      <c r="H62" s="19"/>
      <c r="I62" s="19"/>
      <c r="J62" s="8">
        <f t="shared" si="1"/>
        <v>0</v>
      </c>
      <c r="K62" s="8" t="str">
        <f t="shared" si="2"/>
        <v/>
      </c>
      <c r="L62" s="8" t="str">
        <f t="shared" si="3"/>
        <v/>
      </c>
      <c r="M62" s="8">
        <f t="shared" si="4"/>
        <v>0</v>
      </c>
    </row>
    <row r="63" ht="15.75" customHeight="1">
      <c r="A63" s="19"/>
      <c r="B63" s="19"/>
      <c r="C63" s="8" t="str">
        <f t="array" ref="C63">IF(B63="","",IFERROR(INDEX('Item Master'!$B:$B,MATCH(B63,'Item Master'!$A:$A,0)),""))</f>
        <v/>
      </c>
      <c r="D63" s="19"/>
      <c r="E63" s="19"/>
      <c r="F63" s="19"/>
      <c r="G63" s="19"/>
      <c r="H63" s="19"/>
      <c r="I63" s="19"/>
      <c r="J63" s="8">
        <f t="shared" si="1"/>
        <v>0</v>
      </c>
      <c r="K63" s="8" t="str">
        <f t="shared" si="2"/>
        <v/>
      </c>
      <c r="L63" s="8" t="str">
        <f t="shared" si="3"/>
        <v/>
      </c>
      <c r="M63" s="8">
        <f t="shared" si="4"/>
        <v>0</v>
      </c>
    </row>
    <row r="64" ht="15.75" customHeight="1">
      <c r="A64" s="19"/>
      <c r="B64" s="19"/>
      <c r="C64" s="8" t="str">
        <f t="array" ref="C64">IF(B64="","",IFERROR(INDEX('Item Master'!$B:$B,MATCH(B64,'Item Master'!$A:$A,0)),""))</f>
        <v/>
      </c>
      <c r="D64" s="19"/>
      <c r="E64" s="19"/>
      <c r="F64" s="19"/>
      <c r="G64" s="19"/>
      <c r="H64" s="19"/>
      <c r="I64" s="19"/>
      <c r="J64" s="8">
        <f t="shared" si="1"/>
        <v>0</v>
      </c>
      <c r="K64" s="8" t="str">
        <f t="shared" si="2"/>
        <v/>
      </c>
      <c r="L64" s="8" t="str">
        <f t="shared" si="3"/>
        <v/>
      </c>
      <c r="M64" s="8">
        <f t="shared" si="4"/>
        <v>0</v>
      </c>
    </row>
    <row r="65" ht="15.75" customHeight="1">
      <c r="A65" s="19"/>
      <c r="B65" s="19"/>
      <c r="C65" s="8" t="str">
        <f t="array" ref="C65">IF(B65="","",IFERROR(INDEX('Item Master'!$B:$B,MATCH(B65,'Item Master'!$A:$A,0)),""))</f>
        <v/>
      </c>
      <c r="D65" s="19"/>
      <c r="E65" s="19"/>
      <c r="F65" s="19"/>
      <c r="G65" s="19"/>
      <c r="H65" s="19"/>
      <c r="I65" s="19"/>
      <c r="J65" s="8">
        <f t="shared" si="1"/>
        <v>0</v>
      </c>
      <c r="K65" s="8" t="str">
        <f t="shared" si="2"/>
        <v/>
      </c>
      <c r="L65" s="8" t="str">
        <f t="shared" si="3"/>
        <v/>
      </c>
      <c r="M65" s="8">
        <f t="shared" si="4"/>
        <v>0</v>
      </c>
    </row>
    <row r="66" ht="15.75" customHeight="1">
      <c r="A66" s="19"/>
      <c r="B66" s="19"/>
      <c r="C66" s="8" t="str">
        <f t="array" ref="C66">IF(B66="","",IFERROR(INDEX('Item Master'!$B:$B,MATCH(B66,'Item Master'!$A:$A,0)),""))</f>
        <v/>
      </c>
      <c r="D66" s="19"/>
      <c r="E66" s="19"/>
      <c r="F66" s="19"/>
      <c r="G66" s="19"/>
      <c r="H66" s="19"/>
      <c r="I66" s="19"/>
      <c r="J66" s="8">
        <f t="shared" si="1"/>
        <v>0</v>
      </c>
      <c r="K66" s="8" t="str">
        <f t="shared" si="2"/>
        <v/>
      </c>
      <c r="L66" s="8" t="str">
        <f t="shared" si="3"/>
        <v/>
      </c>
      <c r="M66" s="8">
        <f t="shared" si="4"/>
        <v>0</v>
      </c>
    </row>
    <row r="67" ht="15.75" customHeight="1">
      <c r="A67" s="19"/>
      <c r="B67" s="19"/>
      <c r="C67" s="8" t="str">
        <f t="array" ref="C67">IF(B67="","",IFERROR(INDEX('Item Master'!$B:$B,MATCH(B67,'Item Master'!$A:$A,0)),""))</f>
        <v/>
      </c>
      <c r="D67" s="19"/>
      <c r="E67" s="19"/>
      <c r="F67" s="19"/>
      <c r="G67" s="19"/>
      <c r="H67" s="19"/>
      <c r="I67" s="19"/>
      <c r="J67" s="8">
        <f t="shared" si="1"/>
        <v>0</v>
      </c>
      <c r="K67" s="8" t="str">
        <f t="shared" si="2"/>
        <v/>
      </c>
      <c r="L67" s="8" t="str">
        <f t="shared" si="3"/>
        <v/>
      </c>
      <c r="M67" s="8">
        <f t="shared" si="4"/>
        <v>0</v>
      </c>
    </row>
    <row r="68" ht="15.75" customHeight="1">
      <c r="A68" s="19"/>
      <c r="B68" s="19"/>
      <c r="C68" s="8" t="str">
        <f t="array" ref="C68">IF(B68="","",IFERROR(INDEX('Item Master'!$B:$B,MATCH(B68,'Item Master'!$A:$A,0)),""))</f>
        <v/>
      </c>
      <c r="D68" s="19"/>
      <c r="E68" s="19"/>
      <c r="F68" s="19"/>
      <c r="G68" s="19"/>
      <c r="H68" s="19"/>
      <c r="I68" s="19"/>
      <c r="J68" s="8">
        <f t="shared" si="1"/>
        <v>0</v>
      </c>
      <c r="K68" s="8" t="str">
        <f t="shared" si="2"/>
        <v/>
      </c>
      <c r="L68" s="8" t="str">
        <f t="shared" si="3"/>
        <v/>
      </c>
      <c r="M68" s="8">
        <f t="shared" si="4"/>
        <v>0</v>
      </c>
    </row>
    <row r="69" ht="15.75" customHeight="1">
      <c r="A69" s="19"/>
      <c r="B69" s="19"/>
      <c r="C69" s="8" t="str">
        <f t="array" ref="C69">IF(B69="","",IFERROR(INDEX('Item Master'!$B:$B,MATCH(B69,'Item Master'!$A:$A,0)),""))</f>
        <v/>
      </c>
      <c r="D69" s="19"/>
      <c r="E69" s="19"/>
      <c r="F69" s="19"/>
      <c r="G69" s="19"/>
      <c r="H69" s="19"/>
      <c r="I69" s="19"/>
      <c r="J69" s="8">
        <f t="shared" si="1"/>
        <v>0</v>
      </c>
      <c r="K69" s="8" t="str">
        <f t="shared" si="2"/>
        <v/>
      </c>
      <c r="L69" s="8" t="str">
        <f t="shared" si="3"/>
        <v/>
      </c>
      <c r="M69" s="8">
        <f t="shared" si="4"/>
        <v>0</v>
      </c>
    </row>
    <row r="70" ht="15.75" customHeight="1">
      <c r="A70" s="19"/>
      <c r="B70" s="19"/>
      <c r="C70" s="8" t="str">
        <f t="array" ref="C70">IF(B70="","",IFERROR(INDEX('Item Master'!$B:$B,MATCH(B70,'Item Master'!$A:$A,0)),""))</f>
        <v/>
      </c>
      <c r="D70" s="19"/>
      <c r="E70" s="19"/>
      <c r="F70" s="19"/>
      <c r="G70" s="19"/>
      <c r="H70" s="19"/>
      <c r="I70" s="19"/>
      <c r="J70" s="8">
        <f t="shared" si="1"/>
        <v>0</v>
      </c>
      <c r="K70" s="8" t="str">
        <f t="shared" si="2"/>
        <v/>
      </c>
      <c r="L70" s="8" t="str">
        <f t="shared" si="3"/>
        <v/>
      </c>
      <c r="M70" s="8">
        <f t="shared" si="4"/>
        <v>0</v>
      </c>
    </row>
    <row r="71" ht="15.75" customHeight="1">
      <c r="A71" s="19"/>
      <c r="B71" s="19"/>
      <c r="C71" s="8" t="str">
        <f t="array" ref="C71">IF(B71="","",IFERROR(INDEX('Item Master'!$B:$B,MATCH(B71,'Item Master'!$A:$A,0)),""))</f>
        <v/>
      </c>
      <c r="D71" s="19"/>
      <c r="E71" s="19"/>
      <c r="F71" s="19"/>
      <c r="G71" s="19"/>
      <c r="H71" s="19"/>
      <c r="I71" s="19"/>
      <c r="J71" s="8">
        <f t="shared" si="1"/>
        <v>0</v>
      </c>
      <c r="K71" s="8" t="str">
        <f t="shared" si="2"/>
        <v/>
      </c>
      <c r="L71" s="8" t="str">
        <f t="shared" si="3"/>
        <v/>
      </c>
      <c r="M71" s="8">
        <f t="shared" si="4"/>
        <v>0</v>
      </c>
    </row>
    <row r="72" ht="15.75" customHeight="1">
      <c r="A72" s="19"/>
      <c r="B72" s="19"/>
      <c r="C72" s="8" t="str">
        <f t="array" ref="C72">IF(B72="","",IFERROR(INDEX('Item Master'!$B:$B,MATCH(B72,'Item Master'!$A:$A,0)),""))</f>
        <v/>
      </c>
      <c r="D72" s="19"/>
      <c r="E72" s="19"/>
      <c r="F72" s="19"/>
      <c r="G72" s="19"/>
      <c r="H72" s="19"/>
      <c r="I72" s="19"/>
      <c r="J72" s="8">
        <f t="shared" si="1"/>
        <v>0</v>
      </c>
      <c r="K72" s="8" t="str">
        <f t="shared" si="2"/>
        <v/>
      </c>
      <c r="L72" s="8" t="str">
        <f t="shared" si="3"/>
        <v/>
      </c>
      <c r="M72" s="8">
        <f t="shared" si="4"/>
        <v>0</v>
      </c>
    </row>
    <row r="73" ht="15.75" customHeight="1">
      <c r="A73" s="19"/>
      <c r="B73" s="19"/>
      <c r="C73" s="8" t="str">
        <f t="array" ref="C73">IF(B73="","",IFERROR(INDEX('Item Master'!$B:$B,MATCH(B73,'Item Master'!$A:$A,0)),""))</f>
        <v/>
      </c>
      <c r="D73" s="19"/>
      <c r="E73" s="19"/>
      <c r="F73" s="19"/>
      <c r="G73" s="19"/>
      <c r="H73" s="19"/>
      <c r="I73" s="19"/>
      <c r="J73" s="8">
        <f t="shared" si="1"/>
        <v>0</v>
      </c>
      <c r="K73" s="8" t="str">
        <f t="shared" si="2"/>
        <v/>
      </c>
      <c r="L73" s="8" t="str">
        <f t="shared" si="3"/>
        <v/>
      </c>
      <c r="M73" s="8">
        <f t="shared" si="4"/>
        <v>0</v>
      </c>
    </row>
    <row r="74" ht="15.75" customHeight="1">
      <c r="A74" s="19"/>
      <c r="B74" s="19"/>
      <c r="C74" s="8" t="str">
        <f t="array" ref="C74">IF(B74="","",IFERROR(INDEX('Item Master'!$B:$B,MATCH(B74,'Item Master'!$A:$A,0)),""))</f>
        <v/>
      </c>
      <c r="D74" s="19"/>
      <c r="E74" s="19"/>
      <c r="F74" s="19"/>
      <c r="G74" s="19"/>
      <c r="H74" s="19"/>
      <c r="I74" s="19"/>
      <c r="J74" s="8">
        <f t="shared" si="1"/>
        <v>0</v>
      </c>
      <c r="K74" s="8" t="str">
        <f t="shared" si="2"/>
        <v/>
      </c>
      <c r="L74" s="8" t="str">
        <f t="shared" si="3"/>
        <v/>
      </c>
      <c r="M74" s="8">
        <f t="shared" si="4"/>
        <v>0</v>
      </c>
    </row>
    <row r="75" ht="15.75" customHeight="1">
      <c r="A75" s="19"/>
      <c r="B75" s="19"/>
      <c r="C75" s="8" t="str">
        <f t="array" ref="C75">IF(B75="","",IFERROR(INDEX('Item Master'!$B:$B,MATCH(B75,'Item Master'!$A:$A,0)),""))</f>
        <v/>
      </c>
      <c r="D75" s="19"/>
      <c r="E75" s="19"/>
      <c r="F75" s="19"/>
      <c r="G75" s="19"/>
      <c r="H75" s="19"/>
      <c r="I75" s="19"/>
      <c r="J75" s="8">
        <f t="shared" si="1"/>
        <v>0</v>
      </c>
      <c r="K75" s="8" t="str">
        <f t="shared" si="2"/>
        <v/>
      </c>
      <c r="L75" s="8" t="str">
        <f t="shared" si="3"/>
        <v/>
      </c>
      <c r="M75" s="8">
        <f t="shared" si="4"/>
        <v>0</v>
      </c>
    </row>
    <row r="76" ht="15.75" customHeight="1">
      <c r="A76" s="19"/>
      <c r="B76" s="19"/>
      <c r="C76" s="8" t="str">
        <f t="array" ref="C76">IF(B76="","",IFERROR(INDEX('Item Master'!$B:$B,MATCH(B76,'Item Master'!$A:$A,0)),""))</f>
        <v/>
      </c>
      <c r="D76" s="19"/>
      <c r="E76" s="19"/>
      <c r="F76" s="19"/>
      <c r="G76" s="19"/>
      <c r="H76" s="19"/>
      <c r="I76" s="19"/>
      <c r="J76" s="8">
        <f t="shared" si="1"/>
        <v>0</v>
      </c>
      <c r="K76" s="8" t="str">
        <f t="shared" si="2"/>
        <v/>
      </c>
      <c r="L76" s="8" t="str">
        <f t="shared" si="3"/>
        <v/>
      </c>
      <c r="M76" s="8">
        <f t="shared" si="4"/>
        <v>0</v>
      </c>
    </row>
    <row r="77" ht="15.75" customHeight="1">
      <c r="A77" s="19"/>
      <c r="B77" s="19"/>
      <c r="C77" s="8" t="str">
        <f t="array" ref="C77">IF(B77="","",IFERROR(INDEX('Item Master'!$B:$B,MATCH(B77,'Item Master'!$A:$A,0)),""))</f>
        <v/>
      </c>
      <c r="D77" s="19"/>
      <c r="E77" s="19"/>
      <c r="F77" s="19"/>
      <c r="G77" s="19"/>
      <c r="H77" s="19"/>
      <c r="I77" s="19"/>
      <c r="J77" s="8">
        <f t="shared" si="1"/>
        <v>0</v>
      </c>
      <c r="K77" s="8" t="str">
        <f t="shared" si="2"/>
        <v/>
      </c>
      <c r="L77" s="8" t="str">
        <f t="shared" si="3"/>
        <v/>
      </c>
      <c r="M77" s="8">
        <f t="shared" si="4"/>
        <v>0</v>
      </c>
    </row>
    <row r="78" ht="15.75" customHeight="1">
      <c r="A78" s="19"/>
      <c r="B78" s="19"/>
      <c r="C78" s="8" t="str">
        <f t="array" ref="C78">IF(B78="","",IFERROR(INDEX('Item Master'!$B:$B,MATCH(B78,'Item Master'!$A:$A,0)),""))</f>
        <v/>
      </c>
      <c r="D78" s="19"/>
      <c r="E78" s="19"/>
      <c r="F78" s="19"/>
      <c r="G78" s="19"/>
      <c r="H78" s="19"/>
      <c r="I78" s="19"/>
      <c r="J78" s="8">
        <f t="shared" si="1"/>
        <v>0</v>
      </c>
      <c r="K78" s="8" t="str">
        <f t="shared" si="2"/>
        <v/>
      </c>
      <c r="L78" s="8" t="str">
        <f t="shared" si="3"/>
        <v/>
      </c>
      <c r="M78" s="8">
        <f t="shared" si="4"/>
        <v>0</v>
      </c>
    </row>
    <row r="79" ht="15.75" customHeight="1">
      <c r="A79" s="19"/>
      <c r="B79" s="19"/>
      <c r="C79" s="8" t="str">
        <f t="array" ref="C79">IF(B79="","",IFERROR(INDEX('Item Master'!$B:$B,MATCH(B79,'Item Master'!$A:$A,0)),""))</f>
        <v/>
      </c>
      <c r="D79" s="19"/>
      <c r="E79" s="19"/>
      <c r="F79" s="19"/>
      <c r="G79" s="19"/>
      <c r="H79" s="19"/>
      <c r="I79" s="19"/>
      <c r="J79" s="8">
        <f t="shared" si="1"/>
        <v>0</v>
      </c>
      <c r="K79" s="8" t="str">
        <f t="shared" si="2"/>
        <v/>
      </c>
      <c r="L79" s="8" t="str">
        <f t="shared" si="3"/>
        <v/>
      </c>
      <c r="M79" s="8">
        <f t="shared" si="4"/>
        <v>0</v>
      </c>
    </row>
    <row r="80" ht="15.75" customHeight="1">
      <c r="A80" s="19"/>
      <c r="B80" s="19"/>
      <c r="C80" s="8" t="str">
        <f t="array" ref="C80">IF(B80="","",IFERROR(INDEX('Item Master'!$B:$B,MATCH(B80,'Item Master'!$A:$A,0)),""))</f>
        <v/>
      </c>
      <c r="D80" s="19"/>
      <c r="E80" s="19"/>
      <c r="F80" s="19"/>
      <c r="G80" s="19"/>
      <c r="H80" s="19"/>
      <c r="I80" s="19"/>
      <c r="J80" s="8">
        <f t="shared" si="1"/>
        <v>0</v>
      </c>
      <c r="K80" s="8" t="str">
        <f t="shared" si="2"/>
        <v/>
      </c>
      <c r="L80" s="8" t="str">
        <f t="shared" si="3"/>
        <v/>
      </c>
      <c r="M80" s="8">
        <f t="shared" si="4"/>
        <v>0</v>
      </c>
    </row>
    <row r="81" ht="15.75" customHeight="1">
      <c r="A81" s="19"/>
      <c r="B81" s="19"/>
      <c r="C81" s="8" t="str">
        <f t="array" ref="C81">IF(B81="","",IFERROR(INDEX('Item Master'!$B:$B,MATCH(B81,'Item Master'!$A:$A,0)),""))</f>
        <v/>
      </c>
      <c r="D81" s="19"/>
      <c r="E81" s="19"/>
      <c r="F81" s="19"/>
      <c r="G81" s="19"/>
      <c r="H81" s="19"/>
      <c r="I81" s="19"/>
      <c r="J81" s="8">
        <f t="shared" si="1"/>
        <v>0</v>
      </c>
      <c r="K81" s="8" t="str">
        <f t="shared" si="2"/>
        <v/>
      </c>
      <c r="L81" s="8" t="str">
        <f t="shared" si="3"/>
        <v/>
      </c>
      <c r="M81" s="8">
        <f t="shared" si="4"/>
        <v>0</v>
      </c>
    </row>
    <row r="82" ht="15.75" customHeight="1">
      <c r="A82" s="19"/>
      <c r="B82" s="19"/>
      <c r="C82" s="8" t="str">
        <f t="array" ref="C82">IF(B82="","",IFERROR(INDEX('Item Master'!$B:$B,MATCH(B82,'Item Master'!$A:$A,0)),""))</f>
        <v/>
      </c>
      <c r="D82" s="19"/>
      <c r="E82" s="19"/>
      <c r="F82" s="19"/>
      <c r="G82" s="19"/>
      <c r="H82" s="19"/>
      <c r="I82" s="19"/>
      <c r="J82" s="8">
        <f t="shared" si="1"/>
        <v>0</v>
      </c>
      <c r="K82" s="8" t="str">
        <f t="shared" si="2"/>
        <v/>
      </c>
      <c r="L82" s="8" t="str">
        <f t="shared" si="3"/>
        <v/>
      </c>
      <c r="M82" s="8">
        <f t="shared" si="4"/>
        <v>0</v>
      </c>
    </row>
    <row r="83" ht="15.75" customHeight="1">
      <c r="A83" s="19"/>
      <c r="B83" s="19"/>
      <c r="C83" s="8" t="str">
        <f t="array" ref="C83">IF(B83="","",IFERROR(INDEX('Item Master'!$B:$B,MATCH(B83,'Item Master'!$A:$A,0)),""))</f>
        <v/>
      </c>
      <c r="D83" s="19"/>
      <c r="E83" s="19"/>
      <c r="F83" s="19"/>
      <c r="G83" s="19"/>
      <c r="H83" s="19"/>
      <c r="I83" s="19"/>
      <c r="J83" s="8">
        <f t="shared" si="1"/>
        <v>0</v>
      </c>
      <c r="K83" s="8" t="str">
        <f t="shared" si="2"/>
        <v/>
      </c>
      <c r="L83" s="8" t="str">
        <f t="shared" si="3"/>
        <v/>
      </c>
      <c r="M83" s="8">
        <f t="shared" si="4"/>
        <v>0</v>
      </c>
    </row>
    <row r="84" ht="15.75" customHeight="1">
      <c r="A84" s="19"/>
      <c r="B84" s="19"/>
      <c r="C84" s="8" t="str">
        <f t="array" ref="C84">IF(B84="","",IFERROR(INDEX('Item Master'!$B:$B,MATCH(B84,'Item Master'!$A:$A,0)),""))</f>
        <v/>
      </c>
      <c r="D84" s="19"/>
      <c r="E84" s="19"/>
      <c r="F84" s="19"/>
      <c r="G84" s="19"/>
      <c r="H84" s="19"/>
      <c r="I84" s="19"/>
      <c r="J84" s="8">
        <f t="shared" si="1"/>
        <v>0</v>
      </c>
      <c r="K84" s="8" t="str">
        <f t="shared" si="2"/>
        <v/>
      </c>
      <c r="L84" s="8" t="str">
        <f t="shared" si="3"/>
        <v/>
      </c>
      <c r="M84" s="8">
        <f t="shared" si="4"/>
        <v>0</v>
      </c>
    </row>
    <row r="85" ht="15.75" customHeight="1">
      <c r="A85" s="19"/>
      <c r="B85" s="19"/>
      <c r="C85" s="8" t="str">
        <f t="array" ref="C85">IF(B85="","",IFERROR(INDEX('Item Master'!$B:$B,MATCH(B85,'Item Master'!$A:$A,0)),""))</f>
        <v/>
      </c>
      <c r="D85" s="19"/>
      <c r="E85" s="19"/>
      <c r="F85" s="19"/>
      <c r="G85" s="19"/>
      <c r="H85" s="19"/>
      <c r="I85" s="19"/>
      <c r="J85" s="8">
        <f t="shared" si="1"/>
        <v>0</v>
      </c>
      <c r="K85" s="8" t="str">
        <f t="shared" si="2"/>
        <v/>
      </c>
      <c r="L85" s="8" t="str">
        <f t="shared" si="3"/>
        <v/>
      </c>
      <c r="M85" s="8">
        <f t="shared" si="4"/>
        <v>0</v>
      </c>
    </row>
    <row r="86" ht="15.75" customHeight="1">
      <c r="A86" s="19"/>
      <c r="B86" s="19"/>
      <c r="C86" s="8" t="str">
        <f t="array" ref="C86">IF(B86="","",IFERROR(INDEX('Item Master'!$B:$B,MATCH(B86,'Item Master'!$A:$A,0)),""))</f>
        <v/>
      </c>
      <c r="D86" s="19"/>
      <c r="E86" s="19"/>
      <c r="F86" s="19"/>
      <c r="G86" s="19"/>
      <c r="H86" s="19"/>
      <c r="I86" s="19"/>
      <c r="J86" s="8">
        <f t="shared" si="1"/>
        <v>0</v>
      </c>
      <c r="K86" s="8" t="str">
        <f t="shared" si="2"/>
        <v/>
      </c>
      <c r="L86" s="8" t="str">
        <f t="shared" si="3"/>
        <v/>
      </c>
      <c r="M86" s="8">
        <f t="shared" si="4"/>
        <v>0</v>
      </c>
    </row>
    <row r="87" ht="15.75" customHeight="1">
      <c r="A87" s="19"/>
      <c r="B87" s="19"/>
      <c r="C87" s="8" t="str">
        <f t="array" ref="C87">IF(B87="","",IFERROR(INDEX('Item Master'!$B:$B,MATCH(B87,'Item Master'!$A:$A,0)),""))</f>
        <v/>
      </c>
      <c r="D87" s="19"/>
      <c r="E87" s="19"/>
      <c r="F87" s="19"/>
      <c r="G87" s="19"/>
      <c r="H87" s="19"/>
      <c r="I87" s="19"/>
      <c r="J87" s="8">
        <f t="shared" si="1"/>
        <v>0</v>
      </c>
      <c r="K87" s="8" t="str">
        <f t="shared" si="2"/>
        <v/>
      </c>
      <c r="L87" s="8" t="str">
        <f t="shared" si="3"/>
        <v/>
      </c>
      <c r="M87" s="8">
        <f t="shared" si="4"/>
        <v>0</v>
      </c>
    </row>
    <row r="88" ht="15.75" customHeight="1">
      <c r="A88" s="19"/>
      <c r="B88" s="19"/>
      <c r="C88" s="8" t="str">
        <f t="array" ref="C88">IF(B88="","",IFERROR(INDEX('Item Master'!$B:$B,MATCH(B88,'Item Master'!$A:$A,0)),""))</f>
        <v/>
      </c>
      <c r="D88" s="19"/>
      <c r="E88" s="19"/>
      <c r="F88" s="19"/>
      <c r="G88" s="19"/>
      <c r="H88" s="19"/>
      <c r="I88" s="19"/>
      <c r="J88" s="8">
        <f t="shared" si="1"/>
        <v>0</v>
      </c>
      <c r="K88" s="8" t="str">
        <f t="shared" si="2"/>
        <v/>
      </c>
      <c r="L88" s="8" t="str">
        <f t="shared" si="3"/>
        <v/>
      </c>
      <c r="M88" s="8">
        <f t="shared" si="4"/>
        <v>0</v>
      </c>
    </row>
    <row r="89" ht="15.75" customHeight="1">
      <c r="A89" s="19"/>
      <c r="B89" s="19"/>
      <c r="C89" s="8" t="str">
        <f t="array" ref="C89">IF(B89="","",IFERROR(INDEX('Item Master'!$B:$B,MATCH(B89,'Item Master'!$A:$A,0)),""))</f>
        <v/>
      </c>
      <c r="D89" s="19"/>
      <c r="E89" s="19"/>
      <c r="F89" s="19"/>
      <c r="G89" s="19"/>
      <c r="H89" s="19"/>
      <c r="I89" s="19"/>
      <c r="J89" s="8">
        <f t="shared" si="1"/>
        <v>0</v>
      </c>
      <c r="K89" s="8" t="str">
        <f t="shared" si="2"/>
        <v/>
      </c>
      <c r="L89" s="8" t="str">
        <f t="shared" si="3"/>
        <v/>
      </c>
      <c r="M89" s="8">
        <f t="shared" si="4"/>
        <v>0</v>
      </c>
    </row>
    <row r="90" ht="15.75" customHeight="1">
      <c r="A90" s="19"/>
      <c r="B90" s="19"/>
      <c r="C90" s="8" t="str">
        <f t="array" ref="C90">IF(B90="","",IFERROR(INDEX('Item Master'!$B:$B,MATCH(B90,'Item Master'!$A:$A,0)),""))</f>
        <v/>
      </c>
      <c r="D90" s="19"/>
      <c r="E90" s="19"/>
      <c r="F90" s="19"/>
      <c r="G90" s="19"/>
      <c r="H90" s="19"/>
      <c r="I90" s="19"/>
      <c r="J90" s="8">
        <f t="shared" si="1"/>
        <v>0</v>
      </c>
      <c r="K90" s="8" t="str">
        <f t="shared" si="2"/>
        <v/>
      </c>
      <c r="L90" s="8" t="str">
        <f t="shared" si="3"/>
        <v/>
      </c>
      <c r="M90" s="8">
        <f t="shared" si="4"/>
        <v>0</v>
      </c>
    </row>
    <row r="91" ht="15.75" customHeight="1">
      <c r="A91" s="19"/>
      <c r="B91" s="19"/>
      <c r="C91" s="8" t="str">
        <f t="array" ref="C91">IF(B91="","",IFERROR(INDEX('Item Master'!$B:$B,MATCH(B91,'Item Master'!$A:$A,0)),""))</f>
        <v/>
      </c>
      <c r="D91" s="19"/>
      <c r="E91" s="19"/>
      <c r="F91" s="19"/>
      <c r="G91" s="19"/>
      <c r="H91" s="19"/>
      <c r="I91" s="19"/>
      <c r="J91" s="8">
        <f t="shared" si="1"/>
        <v>0</v>
      </c>
      <c r="K91" s="8" t="str">
        <f t="shared" si="2"/>
        <v/>
      </c>
      <c r="L91" s="8" t="str">
        <f t="shared" si="3"/>
        <v/>
      </c>
      <c r="M91" s="8">
        <f t="shared" si="4"/>
        <v>0</v>
      </c>
    </row>
    <row r="92" ht="15.75" customHeight="1">
      <c r="A92" s="19"/>
      <c r="B92" s="19"/>
      <c r="C92" s="8" t="str">
        <f t="array" ref="C92">IF(B92="","",IFERROR(INDEX('Item Master'!$B:$B,MATCH(B92,'Item Master'!$A:$A,0)),""))</f>
        <v/>
      </c>
      <c r="D92" s="19"/>
      <c r="E92" s="19"/>
      <c r="F92" s="19"/>
      <c r="G92" s="19"/>
      <c r="H92" s="19"/>
      <c r="I92" s="19"/>
      <c r="J92" s="8">
        <f t="shared" si="1"/>
        <v>0</v>
      </c>
      <c r="K92" s="8" t="str">
        <f t="shared" si="2"/>
        <v/>
      </c>
      <c r="L92" s="8" t="str">
        <f t="shared" si="3"/>
        <v/>
      </c>
      <c r="M92" s="8">
        <f t="shared" si="4"/>
        <v>0</v>
      </c>
    </row>
    <row r="93" ht="15.75" customHeight="1">
      <c r="A93" s="19"/>
      <c r="B93" s="19"/>
      <c r="C93" s="8" t="str">
        <f t="array" ref="C93">IF(B93="","",IFERROR(INDEX('Item Master'!$B:$B,MATCH(B93,'Item Master'!$A:$A,0)),""))</f>
        <v/>
      </c>
      <c r="D93" s="19"/>
      <c r="E93" s="19"/>
      <c r="F93" s="19"/>
      <c r="G93" s="19"/>
      <c r="H93" s="19"/>
      <c r="I93" s="19"/>
      <c r="J93" s="8">
        <f t="shared" si="1"/>
        <v>0</v>
      </c>
      <c r="K93" s="8" t="str">
        <f t="shared" si="2"/>
        <v/>
      </c>
      <c r="L93" s="8" t="str">
        <f t="shared" si="3"/>
        <v/>
      </c>
      <c r="M93" s="8">
        <f t="shared" si="4"/>
        <v>0</v>
      </c>
    </row>
    <row r="94" ht="15.75" customHeight="1">
      <c r="A94" s="19"/>
      <c r="B94" s="19"/>
      <c r="C94" s="8" t="str">
        <f t="array" ref="C94">IF(B94="","",IFERROR(INDEX('Item Master'!$B:$B,MATCH(B94,'Item Master'!$A:$A,0)),""))</f>
        <v/>
      </c>
      <c r="D94" s="19"/>
      <c r="E94" s="19"/>
      <c r="F94" s="19"/>
      <c r="G94" s="19"/>
      <c r="H94" s="19"/>
      <c r="I94" s="19"/>
      <c r="J94" s="8">
        <f t="shared" si="1"/>
        <v>0</v>
      </c>
      <c r="K94" s="8" t="str">
        <f t="shared" si="2"/>
        <v/>
      </c>
      <c r="L94" s="8" t="str">
        <f t="shared" si="3"/>
        <v/>
      </c>
      <c r="M94" s="8">
        <f t="shared" si="4"/>
        <v>0</v>
      </c>
    </row>
    <row r="95" ht="15.75" customHeight="1">
      <c r="A95" s="19"/>
      <c r="B95" s="19"/>
      <c r="C95" s="8" t="str">
        <f t="array" ref="C95">IF(B95="","",IFERROR(INDEX('Item Master'!$B:$B,MATCH(B95,'Item Master'!$A:$A,0)),""))</f>
        <v/>
      </c>
      <c r="D95" s="19"/>
      <c r="E95" s="19"/>
      <c r="F95" s="19"/>
      <c r="G95" s="19"/>
      <c r="H95" s="19"/>
      <c r="I95" s="19"/>
      <c r="J95" s="8">
        <f t="shared" si="1"/>
        <v>0</v>
      </c>
      <c r="K95" s="8" t="str">
        <f t="shared" si="2"/>
        <v/>
      </c>
      <c r="L95" s="8" t="str">
        <f t="shared" si="3"/>
        <v/>
      </c>
      <c r="M95" s="8">
        <f t="shared" si="4"/>
        <v>0</v>
      </c>
    </row>
    <row r="96" ht="15.75" customHeight="1">
      <c r="A96" s="19"/>
      <c r="B96" s="19"/>
      <c r="C96" s="8" t="str">
        <f t="array" ref="C96">IF(B96="","",IFERROR(INDEX('Item Master'!$B:$B,MATCH(B96,'Item Master'!$A:$A,0)),""))</f>
        <v/>
      </c>
      <c r="D96" s="19"/>
      <c r="E96" s="19"/>
      <c r="F96" s="19"/>
      <c r="G96" s="19"/>
      <c r="H96" s="19"/>
      <c r="I96" s="19"/>
      <c r="J96" s="8">
        <f t="shared" si="1"/>
        <v>0</v>
      </c>
      <c r="K96" s="8" t="str">
        <f t="shared" si="2"/>
        <v/>
      </c>
      <c r="L96" s="8" t="str">
        <f t="shared" si="3"/>
        <v/>
      </c>
      <c r="M96" s="8">
        <f t="shared" si="4"/>
        <v>0</v>
      </c>
    </row>
    <row r="97" ht="15.75" customHeight="1">
      <c r="A97" s="19"/>
      <c r="B97" s="19"/>
      <c r="C97" s="8" t="str">
        <f t="array" ref="C97">IF(B97="","",IFERROR(INDEX('Item Master'!$B:$B,MATCH(B97,'Item Master'!$A:$A,0)),""))</f>
        <v/>
      </c>
      <c r="D97" s="19"/>
      <c r="E97" s="19"/>
      <c r="F97" s="19"/>
      <c r="G97" s="19"/>
      <c r="H97" s="19"/>
      <c r="I97" s="19"/>
      <c r="J97" s="8">
        <f t="shared" si="1"/>
        <v>0</v>
      </c>
      <c r="K97" s="8" t="str">
        <f t="shared" si="2"/>
        <v/>
      </c>
      <c r="L97" s="8" t="str">
        <f t="shared" si="3"/>
        <v/>
      </c>
      <c r="M97" s="8">
        <f t="shared" si="4"/>
        <v>0</v>
      </c>
    </row>
    <row r="98" ht="15.75" customHeight="1">
      <c r="A98" s="19"/>
      <c r="B98" s="19"/>
      <c r="C98" s="8" t="str">
        <f t="array" ref="C98">IF(B98="","",IFERROR(INDEX('Item Master'!$B:$B,MATCH(B98,'Item Master'!$A:$A,0)),""))</f>
        <v/>
      </c>
      <c r="D98" s="19"/>
      <c r="E98" s="19"/>
      <c r="F98" s="19"/>
      <c r="G98" s="19"/>
      <c r="H98" s="19"/>
      <c r="I98" s="19"/>
      <c r="J98" s="8">
        <f t="shared" si="1"/>
        <v>0</v>
      </c>
      <c r="K98" s="8" t="str">
        <f t="shared" si="2"/>
        <v/>
      </c>
      <c r="L98" s="8" t="str">
        <f t="shared" si="3"/>
        <v/>
      </c>
      <c r="M98" s="8">
        <f t="shared" si="4"/>
        <v>0</v>
      </c>
    </row>
    <row r="99" ht="15.75" customHeight="1">
      <c r="A99" s="19"/>
      <c r="B99" s="19"/>
      <c r="C99" s="8" t="str">
        <f t="array" ref="C99">IF(B99="","",IFERROR(INDEX('Item Master'!$B:$B,MATCH(B99,'Item Master'!$A:$A,0)),""))</f>
        <v/>
      </c>
      <c r="D99" s="19"/>
      <c r="E99" s="19"/>
      <c r="F99" s="19"/>
      <c r="G99" s="19"/>
      <c r="H99" s="19"/>
      <c r="I99" s="19"/>
      <c r="J99" s="8">
        <f t="shared" si="1"/>
        <v>0</v>
      </c>
      <c r="K99" s="8" t="str">
        <f t="shared" si="2"/>
        <v/>
      </c>
      <c r="L99" s="8" t="str">
        <f t="shared" si="3"/>
        <v/>
      </c>
      <c r="M99" s="8">
        <f t="shared" si="4"/>
        <v>0</v>
      </c>
    </row>
    <row r="100" ht="15.75" customHeight="1">
      <c r="A100" s="19"/>
      <c r="B100" s="19"/>
      <c r="C100" s="8" t="str">
        <f t="array" ref="C100">IF(B100="","",IFERROR(INDEX('Item Master'!$B:$B,MATCH(B100,'Item Master'!$A:$A,0)),""))</f>
        <v/>
      </c>
      <c r="D100" s="19"/>
      <c r="E100" s="19"/>
      <c r="F100" s="19"/>
      <c r="G100" s="19"/>
      <c r="H100" s="19"/>
      <c r="I100" s="19"/>
      <c r="J100" s="8">
        <f t="shared" si="1"/>
        <v>0</v>
      </c>
      <c r="K100" s="8" t="str">
        <f t="shared" si="2"/>
        <v/>
      </c>
      <c r="L100" s="8" t="str">
        <f t="shared" si="3"/>
        <v/>
      </c>
      <c r="M100" s="8">
        <f t="shared" si="4"/>
        <v>0</v>
      </c>
    </row>
    <row r="101" ht="15.75" customHeight="1">
      <c r="A101" s="19"/>
      <c r="B101" s="19"/>
      <c r="C101" s="8" t="str">
        <f t="array" ref="C101">IF(B101="","",IFERROR(INDEX('Item Master'!$B:$B,MATCH(B101,'Item Master'!$A:$A,0)),""))</f>
        <v/>
      </c>
      <c r="D101" s="19"/>
      <c r="E101" s="19"/>
      <c r="F101" s="19"/>
      <c r="G101" s="19"/>
      <c r="H101" s="19"/>
      <c r="I101" s="19"/>
      <c r="J101" s="8">
        <f t="shared" si="1"/>
        <v>0</v>
      </c>
      <c r="K101" s="8" t="str">
        <f t="shared" si="2"/>
        <v/>
      </c>
      <c r="L101" s="8" t="str">
        <f t="shared" si="3"/>
        <v/>
      </c>
      <c r="M101" s="8">
        <f t="shared" si="4"/>
        <v>0</v>
      </c>
    </row>
    <row r="102" ht="15.75" customHeight="1">
      <c r="A102" s="19"/>
      <c r="B102" s="19"/>
      <c r="C102" s="8" t="str">
        <f t="array" ref="C102">IF(B102="","",IFERROR(INDEX('Item Master'!$B:$B,MATCH(B102,'Item Master'!$A:$A,0)),""))</f>
        <v/>
      </c>
      <c r="D102" s="19"/>
      <c r="E102" s="19"/>
      <c r="F102" s="19"/>
      <c r="G102" s="19"/>
      <c r="H102" s="19"/>
      <c r="I102" s="19"/>
      <c r="J102" s="8">
        <f t="shared" si="1"/>
        <v>0</v>
      </c>
      <c r="K102" s="8" t="str">
        <f t="shared" si="2"/>
        <v/>
      </c>
      <c r="L102" s="8" t="str">
        <f t="shared" si="3"/>
        <v/>
      </c>
      <c r="M102" s="8">
        <f t="shared" si="4"/>
        <v>0</v>
      </c>
    </row>
    <row r="103" ht="15.75" customHeight="1">
      <c r="A103" s="19"/>
      <c r="B103" s="19"/>
      <c r="C103" s="8" t="str">
        <f t="array" ref="C103">IF(B103="","",IFERROR(INDEX('Item Master'!$B:$B,MATCH(B103,'Item Master'!$A:$A,0)),""))</f>
        <v/>
      </c>
      <c r="D103" s="19"/>
      <c r="E103" s="19"/>
      <c r="F103" s="19"/>
      <c r="G103" s="19"/>
      <c r="H103" s="19"/>
      <c r="I103" s="19"/>
      <c r="J103" s="8">
        <f t="shared" si="1"/>
        <v>0</v>
      </c>
      <c r="K103" s="8" t="str">
        <f t="shared" si="2"/>
        <v/>
      </c>
      <c r="L103" s="8" t="str">
        <f t="shared" si="3"/>
        <v/>
      </c>
      <c r="M103" s="8">
        <f t="shared" si="4"/>
        <v>0</v>
      </c>
    </row>
    <row r="104" ht="15.75" customHeight="1">
      <c r="A104" s="19"/>
      <c r="B104" s="19"/>
      <c r="C104" s="8" t="str">
        <f t="array" ref="C104">IF(B104="","",IFERROR(INDEX('Item Master'!$B:$B,MATCH(B104,'Item Master'!$A:$A,0)),""))</f>
        <v/>
      </c>
      <c r="D104" s="19"/>
      <c r="E104" s="19"/>
      <c r="F104" s="19"/>
      <c r="G104" s="19"/>
      <c r="H104" s="19"/>
      <c r="I104" s="19"/>
      <c r="J104" s="8">
        <f t="shared" si="1"/>
        <v>0</v>
      </c>
      <c r="K104" s="8" t="str">
        <f t="shared" si="2"/>
        <v/>
      </c>
      <c r="L104" s="8" t="str">
        <f t="shared" si="3"/>
        <v/>
      </c>
      <c r="M104" s="8">
        <f t="shared" si="4"/>
        <v>0</v>
      </c>
    </row>
    <row r="105" ht="15.75" customHeight="1">
      <c r="A105" s="19"/>
      <c r="B105" s="19"/>
      <c r="C105" s="8" t="str">
        <f t="array" ref="C105">IF(B105="","",IFERROR(INDEX('Item Master'!$B:$B,MATCH(B105,'Item Master'!$A:$A,0)),""))</f>
        <v/>
      </c>
      <c r="D105" s="19"/>
      <c r="E105" s="19"/>
      <c r="F105" s="19"/>
      <c r="G105" s="19"/>
      <c r="H105" s="19"/>
      <c r="I105" s="19"/>
      <c r="J105" s="8">
        <f t="shared" si="1"/>
        <v>0</v>
      </c>
      <c r="K105" s="8" t="str">
        <f t="shared" si="2"/>
        <v/>
      </c>
      <c r="L105" s="8" t="str">
        <f t="shared" si="3"/>
        <v/>
      </c>
      <c r="M105" s="8">
        <f t="shared" si="4"/>
        <v>0</v>
      </c>
    </row>
    <row r="106" ht="15.75" customHeight="1">
      <c r="A106" s="19"/>
      <c r="B106" s="19"/>
      <c r="C106" s="8" t="str">
        <f t="array" ref="C106">IF(B106="","",IFERROR(INDEX('Item Master'!$B:$B,MATCH(B106,'Item Master'!$A:$A,0)),""))</f>
        <v/>
      </c>
      <c r="D106" s="19"/>
      <c r="E106" s="19"/>
      <c r="F106" s="19"/>
      <c r="G106" s="19"/>
      <c r="H106" s="19"/>
      <c r="I106" s="19"/>
      <c r="J106" s="8">
        <f t="shared" si="1"/>
        <v>0</v>
      </c>
      <c r="K106" s="8" t="str">
        <f t="shared" si="2"/>
        <v/>
      </c>
      <c r="L106" s="8" t="str">
        <f t="shared" si="3"/>
        <v/>
      </c>
      <c r="M106" s="8">
        <f t="shared" si="4"/>
        <v>0</v>
      </c>
    </row>
    <row r="107" ht="15.75" customHeight="1">
      <c r="A107" s="19"/>
      <c r="B107" s="19"/>
      <c r="C107" s="8" t="str">
        <f t="array" ref="C107">IF(B107="","",IFERROR(INDEX('Item Master'!$B:$B,MATCH(B107,'Item Master'!$A:$A,0)),""))</f>
        <v/>
      </c>
      <c r="D107" s="19"/>
      <c r="E107" s="19"/>
      <c r="F107" s="19"/>
      <c r="G107" s="19"/>
      <c r="H107" s="19"/>
      <c r="I107" s="19"/>
      <c r="J107" s="8">
        <f t="shared" si="1"/>
        <v>0</v>
      </c>
      <c r="K107" s="8" t="str">
        <f t="shared" si="2"/>
        <v/>
      </c>
      <c r="L107" s="8" t="str">
        <f t="shared" si="3"/>
        <v/>
      </c>
      <c r="M107" s="8">
        <f t="shared" si="4"/>
        <v>0</v>
      </c>
    </row>
    <row r="108" ht="15.75" customHeight="1">
      <c r="A108" s="19"/>
      <c r="B108" s="19"/>
      <c r="C108" s="8" t="str">
        <f t="array" ref="C108">IF(B108="","",IFERROR(INDEX('Item Master'!$B:$B,MATCH(B108,'Item Master'!$A:$A,0)),""))</f>
        <v/>
      </c>
      <c r="D108" s="19"/>
      <c r="E108" s="19"/>
      <c r="F108" s="19"/>
      <c r="G108" s="19"/>
      <c r="H108" s="19"/>
      <c r="I108" s="19"/>
      <c r="J108" s="8">
        <f t="shared" si="1"/>
        <v>0</v>
      </c>
      <c r="K108" s="8" t="str">
        <f t="shared" si="2"/>
        <v/>
      </c>
      <c r="L108" s="8" t="str">
        <f t="shared" si="3"/>
        <v/>
      </c>
      <c r="M108" s="8">
        <f t="shared" si="4"/>
        <v>0</v>
      </c>
    </row>
    <row r="109" ht="15.75" customHeight="1">
      <c r="A109" s="19"/>
      <c r="B109" s="19"/>
      <c r="C109" s="8" t="str">
        <f t="array" ref="C109">IF(B109="","",IFERROR(INDEX('Item Master'!$B:$B,MATCH(B109,'Item Master'!$A:$A,0)),""))</f>
        <v/>
      </c>
      <c r="D109" s="19"/>
      <c r="E109" s="19"/>
      <c r="F109" s="19"/>
      <c r="G109" s="19"/>
      <c r="H109" s="19"/>
      <c r="I109" s="19"/>
      <c r="J109" s="8">
        <f t="shared" si="1"/>
        <v>0</v>
      </c>
      <c r="K109" s="8" t="str">
        <f t="shared" si="2"/>
        <v/>
      </c>
      <c r="L109" s="8" t="str">
        <f t="shared" si="3"/>
        <v/>
      </c>
      <c r="M109" s="8">
        <f t="shared" si="4"/>
        <v>0</v>
      </c>
    </row>
    <row r="110" ht="15.75" customHeight="1">
      <c r="A110" s="19"/>
      <c r="B110" s="19"/>
      <c r="C110" s="8" t="str">
        <f t="array" ref="C110">IF(B110="","",IFERROR(INDEX('Item Master'!$B:$B,MATCH(B110,'Item Master'!$A:$A,0)),""))</f>
        <v/>
      </c>
      <c r="D110" s="19"/>
      <c r="E110" s="19"/>
      <c r="F110" s="19"/>
      <c r="G110" s="19"/>
      <c r="H110" s="19"/>
      <c r="I110" s="19"/>
      <c r="J110" s="8">
        <f t="shared" si="1"/>
        <v>0</v>
      </c>
      <c r="K110" s="8" t="str">
        <f t="shared" si="2"/>
        <v/>
      </c>
      <c r="L110" s="8" t="str">
        <f t="shared" si="3"/>
        <v/>
      </c>
      <c r="M110" s="8">
        <f t="shared" si="4"/>
        <v>0</v>
      </c>
    </row>
    <row r="111" ht="15.75" customHeight="1">
      <c r="A111" s="19"/>
      <c r="B111" s="19"/>
      <c r="C111" s="8" t="str">
        <f t="array" ref="C111">IF(B111="","",IFERROR(INDEX('Item Master'!$B:$B,MATCH(B111,'Item Master'!$A:$A,0)),""))</f>
        <v/>
      </c>
      <c r="D111" s="19"/>
      <c r="E111" s="19"/>
      <c r="F111" s="19"/>
      <c r="G111" s="19"/>
      <c r="H111" s="19"/>
      <c r="I111" s="19"/>
      <c r="J111" s="8">
        <f t="shared" si="1"/>
        <v>0</v>
      </c>
      <c r="K111" s="8" t="str">
        <f t="shared" si="2"/>
        <v/>
      </c>
      <c r="L111" s="8" t="str">
        <f t="shared" si="3"/>
        <v/>
      </c>
      <c r="M111" s="8">
        <f t="shared" si="4"/>
        <v>0</v>
      </c>
    </row>
    <row r="112" ht="15.75" customHeight="1">
      <c r="A112" s="19"/>
      <c r="B112" s="19"/>
      <c r="C112" s="8" t="str">
        <f t="array" ref="C112">IF(B112="","",IFERROR(INDEX('Item Master'!$B:$B,MATCH(B112,'Item Master'!$A:$A,0)),""))</f>
        <v/>
      </c>
      <c r="D112" s="19"/>
      <c r="E112" s="19"/>
      <c r="F112" s="19"/>
      <c r="G112" s="19"/>
      <c r="H112" s="19"/>
      <c r="I112" s="19"/>
      <c r="J112" s="8">
        <f t="shared" si="1"/>
        <v>0</v>
      </c>
      <c r="K112" s="8" t="str">
        <f t="shared" si="2"/>
        <v/>
      </c>
      <c r="L112" s="8" t="str">
        <f t="shared" si="3"/>
        <v/>
      </c>
      <c r="M112" s="8">
        <f t="shared" si="4"/>
        <v>0</v>
      </c>
    </row>
    <row r="113" ht="15.75" customHeight="1">
      <c r="A113" s="19"/>
      <c r="B113" s="19"/>
      <c r="C113" s="8" t="str">
        <f t="array" ref="C113">IF(B113="","",IFERROR(INDEX('Item Master'!$B:$B,MATCH(B113,'Item Master'!$A:$A,0)),""))</f>
        <v/>
      </c>
      <c r="D113" s="19"/>
      <c r="E113" s="19"/>
      <c r="F113" s="19"/>
      <c r="G113" s="19"/>
      <c r="H113" s="19"/>
      <c r="I113" s="19"/>
      <c r="J113" s="8">
        <f t="shared" si="1"/>
        <v>0</v>
      </c>
      <c r="K113" s="8" t="str">
        <f t="shared" si="2"/>
        <v/>
      </c>
      <c r="L113" s="8" t="str">
        <f t="shared" si="3"/>
        <v/>
      </c>
      <c r="M113" s="8">
        <f t="shared" si="4"/>
        <v>0</v>
      </c>
    </row>
    <row r="114" ht="15.75" customHeight="1">
      <c r="A114" s="19"/>
      <c r="B114" s="19"/>
      <c r="C114" s="8" t="str">
        <f t="array" ref="C114">IF(B114="","",IFERROR(INDEX('Item Master'!$B:$B,MATCH(B114,'Item Master'!$A:$A,0)),""))</f>
        <v/>
      </c>
      <c r="D114" s="19"/>
      <c r="E114" s="19"/>
      <c r="F114" s="19"/>
      <c r="G114" s="19"/>
      <c r="H114" s="19"/>
      <c r="I114" s="19"/>
      <c r="J114" s="8">
        <f t="shared" si="1"/>
        <v>0</v>
      </c>
      <c r="K114" s="8" t="str">
        <f t="shared" si="2"/>
        <v/>
      </c>
      <c r="L114" s="8" t="str">
        <f t="shared" si="3"/>
        <v/>
      </c>
      <c r="M114" s="8">
        <f t="shared" si="4"/>
        <v>0</v>
      </c>
    </row>
    <row r="115" ht="15.75" customHeight="1">
      <c r="A115" s="19"/>
      <c r="B115" s="19"/>
      <c r="C115" s="8" t="str">
        <f t="array" ref="C115">IF(B115="","",IFERROR(INDEX('Item Master'!$B:$B,MATCH(B115,'Item Master'!$A:$A,0)),""))</f>
        <v/>
      </c>
      <c r="D115" s="19"/>
      <c r="E115" s="19"/>
      <c r="F115" s="19"/>
      <c r="G115" s="19"/>
      <c r="H115" s="19"/>
      <c r="I115" s="19"/>
      <c r="J115" s="8">
        <f t="shared" si="1"/>
        <v>0</v>
      </c>
      <c r="K115" s="8" t="str">
        <f t="shared" si="2"/>
        <v/>
      </c>
      <c r="L115" s="8" t="str">
        <f t="shared" si="3"/>
        <v/>
      </c>
      <c r="M115" s="8">
        <f t="shared" si="4"/>
        <v>0</v>
      </c>
    </row>
    <row r="116" ht="15.75" customHeight="1">
      <c r="A116" s="19"/>
      <c r="B116" s="19"/>
      <c r="C116" s="8" t="str">
        <f t="array" ref="C116">IF(B116="","",IFERROR(INDEX('Item Master'!$B:$B,MATCH(B116,'Item Master'!$A:$A,0)),""))</f>
        <v/>
      </c>
      <c r="D116" s="19"/>
      <c r="E116" s="19"/>
      <c r="F116" s="19"/>
      <c r="G116" s="19"/>
      <c r="H116" s="19"/>
      <c r="I116" s="19"/>
      <c r="J116" s="8">
        <f t="shared" si="1"/>
        <v>0</v>
      </c>
      <c r="K116" s="8" t="str">
        <f t="shared" si="2"/>
        <v/>
      </c>
      <c r="L116" s="8" t="str">
        <f t="shared" si="3"/>
        <v/>
      </c>
      <c r="M116" s="8">
        <f t="shared" si="4"/>
        <v>0</v>
      </c>
    </row>
    <row r="117" ht="15.75" customHeight="1">
      <c r="A117" s="19"/>
      <c r="B117" s="19"/>
      <c r="C117" s="8" t="str">
        <f t="array" ref="C117">IF(B117="","",IFERROR(INDEX('Item Master'!$B:$B,MATCH(B117,'Item Master'!$A:$A,0)),""))</f>
        <v/>
      </c>
      <c r="D117" s="19"/>
      <c r="E117" s="19"/>
      <c r="F117" s="19"/>
      <c r="G117" s="19"/>
      <c r="H117" s="19"/>
      <c r="I117" s="19"/>
      <c r="J117" s="8">
        <f t="shared" si="1"/>
        <v>0</v>
      </c>
      <c r="K117" s="8" t="str">
        <f t="shared" si="2"/>
        <v/>
      </c>
      <c r="L117" s="8" t="str">
        <f t="shared" si="3"/>
        <v/>
      </c>
      <c r="M117" s="8">
        <f t="shared" si="4"/>
        <v>0</v>
      </c>
    </row>
    <row r="118" ht="15.75" customHeight="1">
      <c r="A118" s="19"/>
      <c r="B118" s="19"/>
      <c r="C118" s="8" t="str">
        <f t="array" ref="C118">IF(B118="","",IFERROR(INDEX('Item Master'!$B:$B,MATCH(B118,'Item Master'!$A:$A,0)),""))</f>
        <v/>
      </c>
      <c r="D118" s="19"/>
      <c r="E118" s="19"/>
      <c r="F118" s="19"/>
      <c r="G118" s="19"/>
      <c r="H118" s="19"/>
      <c r="I118" s="19"/>
      <c r="J118" s="8">
        <f t="shared" si="1"/>
        <v>0</v>
      </c>
      <c r="K118" s="8" t="str">
        <f t="shared" si="2"/>
        <v/>
      </c>
      <c r="L118" s="8" t="str">
        <f t="shared" si="3"/>
        <v/>
      </c>
      <c r="M118" s="8">
        <f t="shared" si="4"/>
        <v>0</v>
      </c>
    </row>
    <row r="119" ht="15.75" customHeight="1">
      <c r="A119" s="19"/>
      <c r="B119" s="19"/>
      <c r="C119" s="8" t="str">
        <f t="array" ref="C119">IF(B119="","",IFERROR(INDEX('Item Master'!$B:$B,MATCH(B119,'Item Master'!$A:$A,0)),""))</f>
        <v/>
      </c>
      <c r="D119" s="19"/>
      <c r="E119" s="19"/>
      <c r="F119" s="19"/>
      <c r="G119" s="19"/>
      <c r="H119" s="19"/>
      <c r="I119" s="19"/>
      <c r="J119" s="8">
        <f t="shared" si="1"/>
        <v>0</v>
      </c>
      <c r="K119" s="8" t="str">
        <f t="shared" si="2"/>
        <v/>
      </c>
      <c r="L119" s="8" t="str">
        <f t="shared" si="3"/>
        <v/>
      </c>
      <c r="M119" s="8">
        <f t="shared" si="4"/>
        <v>0</v>
      </c>
    </row>
    <row r="120" ht="15.75" customHeight="1">
      <c r="A120" s="19"/>
      <c r="B120" s="19"/>
      <c r="C120" s="8" t="str">
        <f t="array" ref="C120">IF(B120="","",IFERROR(INDEX('Item Master'!$B:$B,MATCH(B120,'Item Master'!$A:$A,0)),""))</f>
        <v/>
      </c>
      <c r="D120" s="19"/>
      <c r="E120" s="19"/>
      <c r="F120" s="19"/>
      <c r="G120" s="19"/>
      <c r="H120" s="19"/>
      <c r="I120" s="19"/>
      <c r="J120" s="8">
        <f t="shared" si="1"/>
        <v>0</v>
      </c>
      <c r="K120" s="8" t="str">
        <f t="shared" si="2"/>
        <v/>
      </c>
      <c r="L120" s="8" t="str">
        <f t="shared" si="3"/>
        <v/>
      </c>
      <c r="M120" s="8">
        <f t="shared" si="4"/>
        <v>0</v>
      </c>
    </row>
    <row r="121" ht="15.75" customHeight="1">
      <c r="A121" s="19"/>
      <c r="B121" s="19"/>
      <c r="C121" s="8" t="str">
        <f t="array" ref="C121">IF(B121="","",IFERROR(INDEX('Item Master'!$B:$B,MATCH(B121,'Item Master'!$A:$A,0)),""))</f>
        <v/>
      </c>
      <c r="D121" s="19"/>
      <c r="E121" s="19"/>
      <c r="F121" s="19"/>
      <c r="G121" s="19"/>
      <c r="H121" s="19"/>
      <c r="I121" s="19"/>
      <c r="J121" s="8">
        <f t="shared" si="1"/>
        <v>0</v>
      </c>
      <c r="K121" s="8" t="str">
        <f t="shared" si="2"/>
        <v/>
      </c>
      <c r="L121" s="8" t="str">
        <f t="shared" si="3"/>
        <v/>
      </c>
      <c r="M121" s="8">
        <f t="shared" si="4"/>
        <v>0</v>
      </c>
    </row>
    <row r="122" ht="15.75" customHeight="1">
      <c r="A122" s="19"/>
      <c r="B122" s="19"/>
      <c r="C122" s="8" t="str">
        <f t="array" ref="C122">IF(B122="","",IFERROR(INDEX('Item Master'!$B:$B,MATCH(B122,'Item Master'!$A:$A,0)),""))</f>
        <v/>
      </c>
      <c r="D122" s="19"/>
      <c r="E122" s="19"/>
      <c r="F122" s="19"/>
      <c r="G122" s="19"/>
      <c r="H122" s="19"/>
      <c r="I122" s="19"/>
      <c r="J122" s="8">
        <f t="shared" si="1"/>
        <v>0</v>
      </c>
      <c r="K122" s="8" t="str">
        <f t="shared" si="2"/>
        <v/>
      </c>
      <c r="L122" s="8" t="str">
        <f t="shared" si="3"/>
        <v/>
      </c>
      <c r="M122" s="8">
        <f t="shared" si="4"/>
        <v>0</v>
      </c>
    </row>
    <row r="123" ht="15.75" customHeight="1">
      <c r="A123" s="19"/>
      <c r="B123" s="19"/>
      <c r="C123" s="8" t="str">
        <f t="array" ref="C123">IF(B123="","",IFERROR(INDEX('Item Master'!$B:$B,MATCH(B123,'Item Master'!$A:$A,0)),""))</f>
        <v/>
      </c>
      <c r="D123" s="19"/>
      <c r="E123" s="19"/>
      <c r="F123" s="19"/>
      <c r="G123" s="19"/>
      <c r="H123" s="19"/>
      <c r="I123" s="19"/>
      <c r="J123" s="8">
        <f t="shared" si="1"/>
        <v>0</v>
      </c>
      <c r="K123" s="8" t="str">
        <f t="shared" si="2"/>
        <v/>
      </c>
      <c r="L123" s="8" t="str">
        <f t="shared" si="3"/>
        <v/>
      </c>
      <c r="M123" s="8">
        <f t="shared" si="4"/>
        <v>0</v>
      </c>
    </row>
    <row r="124" ht="15.75" customHeight="1">
      <c r="A124" s="19"/>
      <c r="B124" s="19"/>
      <c r="C124" s="8" t="str">
        <f t="array" ref="C124">IF(B124="","",IFERROR(INDEX('Item Master'!$B:$B,MATCH(B124,'Item Master'!$A:$A,0)),""))</f>
        <v/>
      </c>
      <c r="D124" s="19"/>
      <c r="E124" s="19"/>
      <c r="F124" s="19"/>
      <c r="G124" s="19"/>
      <c r="H124" s="19"/>
      <c r="I124" s="19"/>
      <c r="J124" s="8">
        <f t="shared" si="1"/>
        <v>0</v>
      </c>
      <c r="K124" s="8" t="str">
        <f t="shared" si="2"/>
        <v/>
      </c>
      <c r="L124" s="8" t="str">
        <f t="shared" si="3"/>
        <v/>
      </c>
      <c r="M124" s="8">
        <f t="shared" si="4"/>
        <v>0</v>
      </c>
    </row>
    <row r="125" ht="15.75" customHeight="1">
      <c r="A125" s="19"/>
      <c r="B125" s="19"/>
      <c r="C125" s="8" t="str">
        <f t="array" ref="C125">IF(B125="","",IFERROR(INDEX('Item Master'!$B:$B,MATCH(B125,'Item Master'!$A:$A,0)),""))</f>
        <v/>
      </c>
      <c r="D125" s="19"/>
      <c r="E125" s="19"/>
      <c r="F125" s="19"/>
      <c r="G125" s="19"/>
      <c r="H125" s="19"/>
      <c r="I125" s="19"/>
      <c r="J125" s="8">
        <f t="shared" si="1"/>
        <v>0</v>
      </c>
      <c r="K125" s="8" t="str">
        <f t="shared" si="2"/>
        <v/>
      </c>
      <c r="L125" s="8" t="str">
        <f t="shared" si="3"/>
        <v/>
      </c>
      <c r="M125" s="8">
        <f t="shared" si="4"/>
        <v>0</v>
      </c>
    </row>
    <row r="126" ht="15.75" customHeight="1">
      <c r="A126" s="19"/>
      <c r="B126" s="19"/>
      <c r="C126" s="8" t="str">
        <f t="array" ref="C126">IF(B126="","",IFERROR(INDEX('Item Master'!$B:$B,MATCH(B126,'Item Master'!$A:$A,0)),""))</f>
        <v/>
      </c>
      <c r="D126" s="19"/>
      <c r="E126" s="19"/>
      <c r="F126" s="19"/>
      <c r="G126" s="19"/>
      <c r="H126" s="19"/>
      <c r="I126" s="19"/>
      <c r="J126" s="8">
        <f t="shared" si="1"/>
        <v>0</v>
      </c>
      <c r="K126" s="8" t="str">
        <f t="shared" si="2"/>
        <v/>
      </c>
      <c r="L126" s="8" t="str">
        <f t="shared" si="3"/>
        <v/>
      </c>
      <c r="M126" s="8">
        <f t="shared" si="4"/>
        <v>0</v>
      </c>
    </row>
    <row r="127" ht="15.75" customHeight="1">
      <c r="A127" s="19"/>
      <c r="B127" s="19"/>
      <c r="C127" s="8" t="str">
        <f t="array" ref="C127">IF(B127="","",IFERROR(INDEX('Item Master'!$B:$B,MATCH(B127,'Item Master'!$A:$A,0)),""))</f>
        <v/>
      </c>
      <c r="D127" s="19"/>
      <c r="E127" s="19"/>
      <c r="F127" s="19"/>
      <c r="G127" s="19"/>
      <c r="H127" s="19"/>
      <c r="I127" s="19"/>
      <c r="J127" s="8">
        <f t="shared" si="1"/>
        <v>0</v>
      </c>
      <c r="K127" s="8" t="str">
        <f t="shared" si="2"/>
        <v/>
      </c>
      <c r="L127" s="8" t="str">
        <f t="shared" si="3"/>
        <v/>
      </c>
      <c r="M127" s="8">
        <f t="shared" si="4"/>
        <v>0</v>
      </c>
    </row>
    <row r="128" ht="15.75" customHeight="1">
      <c r="A128" s="19"/>
      <c r="B128" s="19"/>
      <c r="C128" s="8" t="str">
        <f t="array" ref="C128">IF(B128="","",IFERROR(INDEX('Item Master'!$B:$B,MATCH(B128,'Item Master'!$A:$A,0)),""))</f>
        <v/>
      </c>
      <c r="D128" s="19"/>
      <c r="E128" s="19"/>
      <c r="F128" s="19"/>
      <c r="G128" s="19"/>
      <c r="H128" s="19"/>
      <c r="I128" s="19"/>
      <c r="J128" s="8">
        <f t="shared" si="1"/>
        <v>0</v>
      </c>
      <c r="K128" s="8" t="str">
        <f t="shared" si="2"/>
        <v/>
      </c>
      <c r="L128" s="8" t="str">
        <f t="shared" si="3"/>
        <v/>
      </c>
      <c r="M128" s="8">
        <f t="shared" si="4"/>
        <v>0</v>
      </c>
    </row>
    <row r="129" ht="15.75" customHeight="1">
      <c r="A129" s="19"/>
      <c r="B129" s="19"/>
      <c r="C129" s="8" t="str">
        <f t="array" ref="C129">IF(B129="","",IFERROR(INDEX('Item Master'!$B:$B,MATCH(B129,'Item Master'!$A:$A,0)),""))</f>
        <v/>
      </c>
      <c r="D129" s="19"/>
      <c r="E129" s="19"/>
      <c r="F129" s="19"/>
      <c r="G129" s="19"/>
      <c r="H129" s="19"/>
      <c r="I129" s="19"/>
      <c r="J129" s="8">
        <f t="shared" si="1"/>
        <v>0</v>
      </c>
      <c r="K129" s="8" t="str">
        <f t="shared" si="2"/>
        <v/>
      </c>
      <c r="L129" s="8" t="str">
        <f t="shared" si="3"/>
        <v/>
      </c>
      <c r="M129" s="8">
        <f t="shared" si="4"/>
        <v>0</v>
      </c>
    </row>
    <row r="130" ht="15.75" customHeight="1">
      <c r="A130" s="19"/>
      <c r="B130" s="19"/>
      <c r="C130" s="8" t="str">
        <f t="array" ref="C130">IF(B130="","",IFERROR(INDEX('Item Master'!$B:$B,MATCH(B130,'Item Master'!$A:$A,0)),""))</f>
        <v/>
      </c>
      <c r="D130" s="19"/>
      <c r="E130" s="19"/>
      <c r="F130" s="19"/>
      <c r="G130" s="19"/>
      <c r="H130" s="19"/>
      <c r="I130" s="19"/>
      <c r="J130" s="8">
        <f t="shared" si="1"/>
        <v>0</v>
      </c>
      <c r="K130" s="8" t="str">
        <f t="shared" si="2"/>
        <v/>
      </c>
      <c r="L130" s="8" t="str">
        <f t="shared" si="3"/>
        <v/>
      </c>
      <c r="M130" s="8">
        <f t="shared" si="4"/>
        <v>0</v>
      </c>
    </row>
    <row r="131" ht="15.75" customHeight="1">
      <c r="A131" s="19"/>
      <c r="B131" s="19"/>
      <c r="C131" s="8" t="str">
        <f t="array" ref="C131">IF(B131="","",IFERROR(INDEX('Item Master'!$B:$B,MATCH(B131,'Item Master'!$A:$A,0)),""))</f>
        <v/>
      </c>
      <c r="D131" s="19"/>
      <c r="E131" s="19"/>
      <c r="F131" s="19"/>
      <c r="G131" s="19"/>
      <c r="H131" s="19"/>
      <c r="I131" s="19"/>
      <c r="J131" s="8">
        <f t="shared" si="1"/>
        <v>0</v>
      </c>
      <c r="K131" s="8" t="str">
        <f t="shared" si="2"/>
        <v/>
      </c>
      <c r="L131" s="8" t="str">
        <f t="shared" si="3"/>
        <v/>
      </c>
      <c r="M131" s="8">
        <f t="shared" si="4"/>
        <v>0</v>
      </c>
    </row>
    <row r="132" ht="15.75" customHeight="1">
      <c r="A132" s="19"/>
      <c r="B132" s="19"/>
      <c r="C132" s="8" t="str">
        <f t="array" ref="C132">IF(B132="","",IFERROR(INDEX('Item Master'!$B:$B,MATCH(B132,'Item Master'!$A:$A,0)),""))</f>
        <v/>
      </c>
      <c r="D132" s="19"/>
      <c r="E132" s="19"/>
      <c r="F132" s="19"/>
      <c r="G132" s="19"/>
      <c r="H132" s="19"/>
      <c r="I132" s="19"/>
      <c r="J132" s="8">
        <f t="shared" si="1"/>
        <v>0</v>
      </c>
      <c r="K132" s="8" t="str">
        <f t="shared" si="2"/>
        <v/>
      </c>
      <c r="L132" s="8" t="str">
        <f t="shared" si="3"/>
        <v/>
      </c>
      <c r="M132" s="8">
        <f t="shared" si="4"/>
        <v>0</v>
      </c>
    </row>
    <row r="133" ht="15.75" customHeight="1">
      <c r="A133" s="19"/>
      <c r="B133" s="19"/>
      <c r="C133" s="8" t="str">
        <f t="array" ref="C133">IF(B133="","",IFERROR(INDEX('Item Master'!$B:$B,MATCH(B133,'Item Master'!$A:$A,0)),""))</f>
        <v/>
      </c>
      <c r="D133" s="19"/>
      <c r="E133" s="19"/>
      <c r="F133" s="19"/>
      <c r="G133" s="19"/>
      <c r="H133" s="19"/>
      <c r="I133" s="19"/>
      <c r="J133" s="8">
        <f t="shared" si="1"/>
        <v>0</v>
      </c>
      <c r="K133" s="8" t="str">
        <f t="shared" si="2"/>
        <v/>
      </c>
      <c r="L133" s="8" t="str">
        <f t="shared" si="3"/>
        <v/>
      </c>
      <c r="M133" s="8">
        <f t="shared" si="4"/>
        <v>0</v>
      </c>
    </row>
    <row r="134" ht="15.75" customHeight="1">
      <c r="A134" s="19"/>
      <c r="B134" s="19"/>
      <c r="C134" s="8" t="str">
        <f t="array" ref="C134">IF(B134="","",IFERROR(INDEX('Item Master'!$B:$B,MATCH(B134,'Item Master'!$A:$A,0)),""))</f>
        <v/>
      </c>
      <c r="D134" s="19"/>
      <c r="E134" s="19"/>
      <c r="F134" s="19"/>
      <c r="G134" s="19"/>
      <c r="H134" s="19"/>
      <c r="I134" s="19"/>
      <c r="J134" s="8">
        <f t="shared" si="1"/>
        <v>0</v>
      </c>
      <c r="K134" s="8" t="str">
        <f t="shared" si="2"/>
        <v/>
      </c>
      <c r="L134" s="8" t="str">
        <f t="shared" si="3"/>
        <v/>
      </c>
      <c r="M134" s="8">
        <f t="shared" si="4"/>
        <v>0</v>
      </c>
    </row>
    <row r="135" ht="15.75" customHeight="1">
      <c r="A135" s="19"/>
      <c r="B135" s="19"/>
      <c r="C135" s="8" t="str">
        <f t="array" ref="C135">IF(B135="","",IFERROR(INDEX('Item Master'!$B:$B,MATCH(B135,'Item Master'!$A:$A,0)),""))</f>
        <v/>
      </c>
      <c r="D135" s="19"/>
      <c r="E135" s="19"/>
      <c r="F135" s="19"/>
      <c r="G135" s="19"/>
      <c r="H135" s="19"/>
      <c r="I135" s="19"/>
      <c r="J135" s="8">
        <f t="shared" si="1"/>
        <v>0</v>
      </c>
      <c r="K135" s="8" t="str">
        <f t="shared" si="2"/>
        <v/>
      </c>
      <c r="L135" s="8" t="str">
        <f t="shared" si="3"/>
        <v/>
      </c>
      <c r="M135" s="8">
        <f t="shared" si="4"/>
        <v>0</v>
      </c>
    </row>
    <row r="136" ht="15.75" customHeight="1">
      <c r="A136" s="19"/>
      <c r="B136" s="19"/>
      <c r="C136" s="8" t="str">
        <f t="array" ref="C136">IF(B136="","",IFERROR(INDEX('Item Master'!$B:$B,MATCH(B136,'Item Master'!$A:$A,0)),""))</f>
        <v/>
      </c>
      <c r="D136" s="19"/>
      <c r="E136" s="19"/>
      <c r="F136" s="19"/>
      <c r="G136" s="19"/>
      <c r="H136" s="19"/>
      <c r="I136" s="19"/>
      <c r="J136" s="8">
        <f t="shared" si="1"/>
        <v>0</v>
      </c>
      <c r="K136" s="8" t="str">
        <f t="shared" si="2"/>
        <v/>
      </c>
      <c r="L136" s="8" t="str">
        <f t="shared" si="3"/>
        <v/>
      </c>
      <c r="M136" s="8">
        <f t="shared" si="4"/>
        <v>0</v>
      </c>
    </row>
    <row r="137" ht="15.75" customHeight="1">
      <c r="A137" s="19"/>
      <c r="B137" s="19"/>
      <c r="C137" s="8" t="str">
        <f t="array" ref="C137">IF(B137="","",IFERROR(INDEX('Item Master'!$B:$B,MATCH(B137,'Item Master'!$A:$A,0)),""))</f>
        <v/>
      </c>
      <c r="D137" s="19"/>
      <c r="E137" s="19"/>
      <c r="F137" s="19"/>
      <c r="G137" s="19"/>
      <c r="H137" s="19"/>
      <c r="I137" s="19"/>
      <c r="J137" s="8">
        <f t="shared" si="1"/>
        <v>0</v>
      </c>
      <c r="K137" s="8" t="str">
        <f t="shared" si="2"/>
        <v/>
      </c>
      <c r="L137" s="8" t="str">
        <f t="shared" si="3"/>
        <v/>
      </c>
      <c r="M137" s="8">
        <f t="shared" si="4"/>
        <v>0</v>
      </c>
    </row>
    <row r="138" ht="15.75" customHeight="1">
      <c r="A138" s="19"/>
      <c r="B138" s="19"/>
      <c r="C138" s="8" t="str">
        <f t="array" ref="C138">IF(B138="","",IFERROR(INDEX('Item Master'!$B:$B,MATCH(B138,'Item Master'!$A:$A,0)),""))</f>
        <v/>
      </c>
      <c r="D138" s="19"/>
      <c r="E138" s="19"/>
      <c r="F138" s="19"/>
      <c r="G138" s="19"/>
      <c r="H138" s="19"/>
      <c r="I138" s="19"/>
      <c r="J138" s="8">
        <f t="shared" si="1"/>
        <v>0</v>
      </c>
      <c r="K138" s="8" t="str">
        <f t="shared" si="2"/>
        <v/>
      </c>
      <c r="L138" s="8" t="str">
        <f t="shared" si="3"/>
        <v/>
      </c>
      <c r="M138" s="8">
        <f t="shared" si="4"/>
        <v>0</v>
      </c>
    </row>
    <row r="139" ht="15.75" customHeight="1">
      <c r="A139" s="19"/>
      <c r="B139" s="19"/>
      <c r="C139" s="8" t="str">
        <f t="array" ref="C139">IF(B139="","",IFERROR(INDEX('Item Master'!$B:$B,MATCH(B139,'Item Master'!$A:$A,0)),""))</f>
        <v/>
      </c>
      <c r="D139" s="19"/>
      <c r="E139" s="19"/>
      <c r="F139" s="19"/>
      <c r="G139" s="19"/>
      <c r="H139" s="19"/>
      <c r="I139" s="19"/>
      <c r="J139" s="8">
        <f t="shared" si="1"/>
        <v>0</v>
      </c>
      <c r="K139" s="8" t="str">
        <f t="shared" si="2"/>
        <v/>
      </c>
      <c r="L139" s="8" t="str">
        <f t="shared" si="3"/>
        <v/>
      </c>
      <c r="M139" s="8">
        <f t="shared" si="4"/>
        <v>0</v>
      </c>
    </row>
    <row r="140" ht="15.75" customHeight="1">
      <c r="A140" s="19"/>
      <c r="B140" s="19"/>
      <c r="C140" s="8" t="str">
        <f t="array" ref="C140">IF(B140="","",IFERROR(INDEX('Item Master'!$B:$B,MATCH(B140,'Item Master'!$A:$A,0)),""))</f>
        <v/>
      </c>
      <c r="D140" s="19"/>
      <c r="E140" s="19"/>
      <c r="F140" s="19"/>
      <c r="G140" s="19"/>
      <c r="H140" s="19"/>
      <c r="I140" s="19"/>
      <c r="J140" s="8">
        <f t="shared" si="1"/>
        <v>0</v>
      </c>
      <c r="K140" s="8" t="str">
        <f t="shared" si="2"/>
        <v/>
      </c>
      <c r="L140" s="8" t="str">
        <f t="shared" si="3"/>
        <v/>
      </c>
      <c r="M140" s="8">
        <f t="shared" si="4"/>
        <v>0</v>
      </c>
    </row>
    <row r="141" ht="15.75" customHeight="1">
      <c r="A141" s="19"/>
      <c r="B141" s="19"/>
      <c r="C141" s="8" t="str">
        <f t="array" ref="C141">IF(B141="","",IFERROR(INDEX('Item Master'!$B:$B,MATCH(B141,'Item Master'!$A:$A,0)),""))</f>
        <v/>
      </c>
      <c r="D141" s="19"/>
      <c r="E141" s="19"/>
      <c r="F141" s="19"/>
      <c r="G141" s="19"/>
      <c r="H141" s="19"/>
      <c r="I141" s="19"/>
      <c r="J141" s="8">
        <f t="shared" si="1"/>
        <v>0</v>
      </c>
      <c r="K141" s="8" t="str">
        <f t="shared" si="2"/>
        <v/>
      </c>
      <c r="L141" s="8" t="str">
        <f t="shared" si="3"/>
        <v/>
      </c>
      <c r="M141" s="8">
        <f t="shared" si="4"/>
        <v>0</v>
      </c>
    </row>
    <row r="142" ht="15.75" customHeight="1">
      <c r="A142" s="19"/>
      <c r="B142" s="19"/>
      <c r="C142" s="8" t="str">
        <f t="array" ref="C142">IF(B142="","",IFERROR(INDEX('Item Master'!$B:$B,MATCH(B142,'Item Master'!$A:$A,0)),""))</f>
        <v/>
      </c>
      <c r="D142" s="19"/>
      <c r="E142" s="19"/>
      <c r="F142" s="19"/>
      <c r="G142" s="19"/>
      <c r="H142" s="19"/>
      <c r="I142" s="19"/>
      <c r="J142" s="8">
        <f t="shared" si="1"/>
        <v>0</v>
      </c>
      <c r="K142" s="8" t="str">
        <f t="shared" si="2"/>
        <v/>
      </c>
      <c r="L142" s="8" t="str">
        <f t="shared" si="3"/>
        <v/>
      </c>
      <c r="M142" s="8">
        <f t="shared" si="4"/>
        <v>0</v>
      </c>
    </row>
    <row r="143" ht="15.75" customHeight="1">
      <c r="A143" s="19"/>
      <c r="B143" s="19"/>
      <c r="C143" s="8" t="str">
        <f t="array" ref="C143">IF(B143="","",IFERROR(INDEX('Item Master'!$B:$B,MATCH(B143,'Item Master'!$A:$A,0)),""))</f>
        <v/>
      </c>
      <c r="D143" s="19"/>
      <c r="E143" s="19"/>
      <c r="F143" s="19"/>
      <c r="G143" s="19"/>
      <c r="H143" s="19"/>
      <c r="I143" s="19"/>
      <c r="J143" s="8">
        <f t="shared" si="1"/>
        <v>0</v>
      </c>
      <c r="K143" s="8" t="str">
        <f t="shared" si="2"/>
        <v/>
      </c>
      <c r="L143" s="8" t="str">
        <f t="shared" si="3"/>
        <v/>
      </c>
      <c r="M143" s="8">
        <f t="shared" si="4"/>
        <v>0</v>
      </c>
    </row>
    <row r="144" ht="15.75" customHeight="1">
      <c r="A144" s="19"/>
      <c r="B144" s="19"/>
      <c r="C144" s="8" t="str">
        <f t="array" ref="C144">IF(B144="","",IFERROR(INDEX('Item Master'!$B:$B,MATCH(B144,'Item Master'!$A:$A,0)),""))</f>
        <v/>
      </c>
      <c r="D144" s="19"/>
      <c r="E144" s="19"/>
      <c r="F144" s="19"/>
      <c r="G144" s="19"/>
      <c r="H144" s="19"/>
      <c r="I144" s="19"/>
      <c r="J144" s="8">
        <f t="shared" si="1"/>
        <v>0</v>
      </c>
      <c r="K144" s="8" t="str">
        <f t="shared" si="2"/>
        <v/>
      </c>
      <c r="L144" s="8" t="str">
        <f t="shared" si="3"/>
        <v/>
      </c>
      <c r="M144" s="8">
        <f t="shared" si="4"/>
        <v>0</v>
      </c>
    </row>
    <row r="145" ht="15.75" customHeight="1">
      <c r="A145" s="19"/>
      <c r="B145" s="19"/>
      <c r="C145" s="8" t="str">
        <f t="array" ref="C145">IF(B145="","",IFERROR(INDEX('Item Master'!$B:$B,MATCH(B145,'Item Master'!$A:$A,0)),""))</f>
        <v/>
      </c>
      <c r="D145" s="19"/>
      <c r="E145" s="19"/>
      <c r="F145" s="19"/>
      <c r="G145" s="19"/>
      <c r="H145" s="19"/>
      <c r="I145" s="19"/>
      <c r="J145" s="8">
        <f t="shared" si="1"/>
        <v>0</v>
      </c>
      <c r="K145" s="8" t="str">
        <f t="shared" si="2"/>
        <v/>
      </c>
      <c r="L145" s="8" t="str">
        <f t="shared" si="3"/>
        <v/>
      </c>
      <c r="M145" s="8">
        <f t="shared" si="4"/>
        <v>0</v>
      </c>
    </row>
    <row r="146" ht="15.75" customHeight="1">
      <c r="A146" s="19"/>
      <c r="B146" s="19"/>
      <c r="C146" s="8" t="str">
        <f t="array" ref="C146">IF(B146="","",IFERROR(INDEX('Item Master'!$B:$B,MATCH(B146,'Item Master'!$A:$A,0)),""))</f>
        <v/>
      </c>
      <c r="D146" s="19"/>
      <c r="E146" s="19"/>
      <c r="F146" s="19"/>
      <c r="G146" s="19"/>
      <c r="H146" s="19"/>
      <c r="I146" s="19"/>
      <c r="J146" s="8">
        <f t="shared" si="1"/>
        <v>0</v>
      </c>
      <c r="K146" s="8" t="str">
        <f t="shared" si="2"/>
        <v/>
      </c>
      <c r="L146" s="8" t="str">
        <f t="shared" si="3"/>
        <v/>
      </c>
      <c r="M146" s="8">
        <f t="shared" si="4"/>
        <v>0</v>
      </c>
    </row>
    <row r="147" ht="15.75" customHeight="1">
      <c r="A147" s="19"/>
      <c r="B147" s="19"/>
      <c r="C147" s="8" t="str">
        <f t="array" ref="C147">IF(B147="","",IFERROR(INDEX('Item Master'!$B:$B,MATCH(B147,'Item Master'!$A:$A,0)),""))</f>
        <v/>
      </c>
      <c r="D147" s="19"/>
      <c r="E147" s="19"/>
      <c r="F147" s="19"/>
      <c r="G147" s="19"/>
      <c r="H147" s="19"/>
      <c r="I147" s="19"/>
      <c r="J147" s="8">
        <f t="shared" si="1"/>
        <v>0</v>
      </c>
      <c r="K147" s="8" t="str">
        <f t="shared" si="2"/>
        <v/>
      </c>
      <c r="L147" s="8" t="str">
        <f t="shared" si="3"/>
        <v/>
      </c>
      <c r="M147" s="8">
        <f t="shared" si="4"/>
        <v>0</v>
      </c>
    </row>
    <row r="148" ht="15.75" customHeight="1">
      <c r="A148" s="19"/>
      <c r="B148" s="19"/>
      <c r="C148" s="8" t="str">
        <f t="array" ref="C148">IF(B148="","",IFERROR(INDEX('Item Master'!$B:$B,MATCH(B148,'Item Master'!$A:$A,0)),""))</f>
        <v/>
      </c>
      <c r="D148" s="19"/>
      <c r="E148" s="19"/>
      <c r="F148" s="19"/>
      <c r="G148" s="19"/>
      <c r="H148" s="19"/>
      <c r="I148" s="19"/>
      <c r="J148" s="8">
        <f t="shared" si="1"/>
        <v>0</v>
      </c>
      <c r="K148" s="8" t="str">
        <f t="shared" si="2"/>
        <v/>
      </c>
      <c r="L148" s="8" t="str">
        <f t="shared" si="3"/>
        <v/>
      </c>
      <c r="M148" s="8">
        <f t="shared" si="4"/>
        <v>0</v>
      </c>
    </row>
    <row r="149" ht="15.75" customHeight="1">
      <c r="A149" s="19"/>
      <c r="B149" s="19"/>
      <c r="C149" s="8" t="str">
        <f t="array" ref="C149">IF(B149="","",IFERROR(INDEX('Item Master'!$B:$B,MATCH(B149,'Item Master'!$A:$A,0)),""))</f>
        <v/>
      </c>
      <c r="D149" s="19"/>
      <c r="E149" s="19"/>
      <c r="F149" s="19"/>
      <c r="G149" s="19"/>
      <c r="H149" s="19"/>
      <c r="I149" s="19"/>
      <c r="J149" s="8">
        <f t="shared" si="1"/>
        <v>0</v>
      </c>
      <c r="K149" s="8" t="str">
        <f t="shared" si="2"/>
        <v/>
      </c>
      <c r="L149" s="8" t="str">
        <f t="shared" si="3"/>
        <v/>
      </c>
      <c r="M149" s="8">
        <f t="shared" si="4"/>
        <v>0</v>
      </c>
    </row>
    <row r="150" ht="15.75" customHeight="1">
      <c r="A150" s="19"/>
      <c r="B150" s="19"/>
      <c r="C150" s="8" t="str">
        <f t="array" ref="C150">IF(B150="","",IFERROR(INDEX('Item Master'!$B:$B,MATCH(B150,'Item Master'!$A:$A,0)),""))</f>
        <v/>
      </c>
      <c r="D150" s="19"/>
      <c r="E150" s="19"/>
      <c r="F150" s="19"/>
      <c r="G150" s="19"/>
      <c r="H150" s="19"/>
      <c r="I150" s="19"/>
      <c r="J150" s="8">
        <f t="shared" si="1"/>
        <v>0</v>
      </c>
      <c r="K150" s="8" t="str">
        <f t="shared" si="2"/>
        <v/>
      </c>
      <c r="L150" s="8" t="str">
        <f t="shared" si="3"/>
        <v/>
      </c>
      <c r="M150" s="8">
        <f t="shared" si="4"/>
        <v>0</v>
      </c>
    </row>
    <row r="151" ht="15.75" customHeight="1">
      <c r="A151" s="19"/>
      <c r="B151" s="19"/>
      <c r="C151" s="8" t="str">
        <f t="array" ref="C151">IF(B151="","",IFERROR(INDEX('Item Master'!$B:$B,MATCH(B151,'Item Master'!$A:$A,0)),""))</f>
        <v/>
      </c>
      <c r="D151" s="19"/>
      <c r="E151" s="19"/>
      <c r="F151" s="19"/>
      <c r="G151" s="19"/>
      <c r="H151" s="19"/>
      <c r="I151" s="19"/>
      <c r="J151" s="8">
        <f t="shared" si="1"/>
        <v>0</v>
      </c>
      <c r="K151" s="8" t="str">
        <f t="shared" si="2"/>
        <v/>
      </c>
      <c r="L151" s="8" t="str">
        <f t="shared" si="3"/>
        <v/>
      </c>
      <c r="M151" s="8">
        <f t="shared" si="4"/>
        <v>0</v>
      </c>
    </row>
    <row r="152" ht="15.75" customHeight="1">
      <c r="A152" s="19"/>
      <c r="B152" s="19"/>
      <c r="C152" s="8" t="str">
        <f t="array" ref="C152">IF(B152="","",IFERROR(INDEX('Item Master'!$B:$B,MATCH(B152,'Item Master'!$A:$A,0)),""))</f>
        <v/>
      </c>
      <c r="D152" s="19"/>
      <c r="E152" s="19"/>
      <c r="F152" s="19"/>
      <c r="G152" s="19"/>
      <c r="H152" s="19"/>
      <c r="I152" s="19"/>
      <c r="J152" s="8">
        <f t="shared" si="1"/>
        <v>0</v>
      </c>
      <c r="K152" s="8" t="str">
        <f t="shared" si="2"/>
        <v/>
      </c>
      <c r="L152" s="8" t="str">
        <f t="shared" si="3"/>
        <v/>
      </c>
      <c r="M152" s="8">
        <f t="shared" si="4"/>
        <v>0</v>
      </c>
    </row>
    <row r="153" ht="15.75" customHeight="1">
      <c r="A153" s="19"/>
      <c r="B153" s="19"/>
      <c r="C153" s="8" t="str">
        <f t="array" ref="C153">IF(B153="","",IFERROR(INDEX('Item Master'!$B:$B,MATCH(B153,'Item Master'!$A:$A,0)),""))</f>
        <v/>
      </c>
      <c r="D153" s="19"/>
      <c r="E153" s="19"/>
      <c r="F153" s="19"/>
      <c r="G153" s="19"/>
      <c r="H153" s="19"/>
      <c r="I153" s="19"/>
      <c r="J153" s="8">
        <f t="shared" si="1"/>
        <v>0</v>
      </c>
      <c r="K153" s="8" t="str">
        <f t="shared" si="2"/>
        <v/>
      </c>
      <c r="L153" s="8" t="str">
        <f t="shared" si="3"/>
        <v/>
      </c>
      <c r="M153" s="8">
        <f t="shared" si="4"/>
        <v>0</v>
      </c>
    </row>
    <row r="154" ht="15.75" customHeight="1">
      <c r="A154" s="19"/>
      <c r="B154" s="19"/>
      <c r="C154" s="8" t="str">
        <f t="array" ref="C154">IF(B154="","",IFERROR(INDEX('Item Master'!$B:$B,MATCH(B154,'Item Master'!$A:$A,0)),""))</f>
        <v/>
      </c>
      <c r="D154" s="19"/>
      <c r="E154" s="19"/>
      <c r="F154" s="19"/>
      <c r="G154" s="19"/>
      <c r="H154" s="19"/>
      <c r="I154" s="19"/>
      <c r="J154" s="8">
        <f t="shared" si="1"/>
        <v>0</v>
      </c>
      <c r="K154" s="8" t="str">
        <f t="shared" si="2"/>
        <v/>
      </c>
      <c r="L154" s="8" t="str">
        <f t="shared" si="3"/>
        <v/>
      </c>
      <c r="M154" s="8">
        <f t="shared" si="4"/>
        <v>0</v>
      </c>
    </row>
    <row r="155" ht="15.75" customHeight="1">
      <c r="A155" s="19"/>
      <c r="B155" s="19"/>
      <c r="C155" s="8" t="str">
        <f t="array" ref="C155">IF(B155="","",IFERROR(INDEX('Item Master'!$B:$B,MATCH(B155,'Item Master'!$A:$A,0)),""))</f>
        <v/>
      </c>
      <c r="D155" s="19"/>
      <c r="E155" s="19"/>
      <c r="F155" s="19"/>
      <c r="G155" s="19"/>
      <c r="H155" s="19"/>
      <c r="I155" s="19"/>
      <c r="J155" s="8">
        <f t="shared" si="1"/>
        <v>0</v>
      </c>
      <c r="K155" s="8" t="str">
        <f t="shared" si="2"/>
        <v/>
      </c>
      <c r="L155" s="8" t="str">
        <f t="shared" si="3"/>
        <v/>
      </c>
      <c r="M155" s="8">
        <f t="shared" si="4"/>
        <v>0</v>
      </c>
    </row>
    <row r="156" ht="15.75" customHeight="1">
      <c r="A156" s="19"/>
      <c r="B156" s="19"/>
      <c r="C156" s="8" t="str">
        <f t="array" ref="C156">IF(B156="","",IFERROR(INDEX('Item Master'!$B:$B,MATCH(B156,'Item Master'!$A:$A,0)),""))</f>
        <v/>
      </c>
      <c r="D156" s="19"/>
      <c r="E156" s="19"/>
      <c r="F156" s="19"/>
      <c r="G156" s="19"/>
      <c r="H156" s="19"/>
      <c r="I156" s="19"/>
      <c r="J156" s="8">
        <f t="shared" si="1"/>
        <v>0</v>
      </c>
      <c r="K156" s="8" t="str">
        <f t="shared" si="2"/>
        <v/>
      </c>
      <c r="L156" s="8" t="str">
        <f t="shared" si="3"/>
        <v/>
      </c>
      <c r="M156" s="8">
        <f t="shared" si="4"/>
        <v>0</v>
      </c>
    </row>
    <row r="157" ht="15.75" customHeight="1">
      <c r="A157" s="19"/>
      <c r="B157" s="19"/>
      <c r="C157" s="8" t="str">
        <f t="array" ref="C157">IF(B157="","",IFERROR(INDEX('Item Master'!$B:$B,MATCH(B157,'Item Master'!$A:$A,0)),""))</f>
        <v/>
      </c>
      <c r="D157" s="19"/>
      <c r="E157" s="19"/>
      <c r="F157" s="19"/>
      <c r="G157" s="19"/>
      <c r="H157" s="19"/>
      <c r="I157" s="19"/>
      <c r="J157" s="8">
        <f t="shared" si="1"/>
        <v>0</v>
      </c>
      <c r="K157" s="8" t="str">
        <f t="shared" si="2"/>
        <v/>
      </c>
      <c r="L157" s="8" t="str">
        <f t="shared" si="3"/>
        <v/>
      </c>
      <c r="M157" s="8">
        <f t="shared" si="4"/>
        <v>0</v>
      </c>
    </row>
    <row r="158" ht="15.75" customHeight="1">
      <c r="A158" s="19"/>
      <c r="B158" s="19"/>
      <c r="C158" s="8" t="str">
        <f t="array" ref="C158">IF(B158="","",IFERROR(INDEX('Item Master'!$B:$B,MATCH(B158,'Item Master'!$A:$A,0)),""))</f>
        <v/>
      </c>
      <c r="D158" s="19"/>
      <c r="E158" s="19"/>
      <c r="F158" s="19"/>
      <c r="G158" s="19"/>
      <c r="H158" s="19"/>
      <c r="I158" s="19"/>
      <c r="J158" s="8">
        <f t="shared" si="1"/>
        <v>0</v>
      </c>
      <c r="K158" s="8" t="str">
        <f t="shared" si="2"/>
        <v/>
      </c>
      <c r="L158" s="8" t="str">
        <f t="shared" si="3"/>
        <v/>
      </c>
      <c r="M158" s="8">
        <f t="shared" si="4"/>
        <v>0</v>
      </c>
    </row>
    <row r="159" ht="15.75" customHeight="1">
      <c r="A159" s="19"/>
      <c r="B159" s="19"/>
      <c r="C159" s="8" t="str">
        <f t="array" ref="C159">IF(B159="","",IFERROR(INDEX('Item Master'!$B:$B,MATCH(B159,'Item Master'!$A:$A,0)),""))</f>
        <v/>
      </c>
      <c r="D159" s="19"/>
      <c r="E159" s="19"/>
      <c r="F159" s="19"/>
      <c r="G159" s="19"/>
      <c r="H159" s="19"/>
      <c r="I159" s="19"/>
      <c r="J159" s="8">
        <f t="shared" si="1"/>
        <v>0</v>
      </c>
      <c r="K159" s="8" t="str">
        <f t="shared" si="2"/>
        <v/>
      </c>
      <c r="L159" s="8" t="str">
        <f t="shared" si="3"/>
        <v/>
      </c>
      <c r="M159" s="8">
        <f t="shared" si="4"/>
        <v>0</v>
      </c>
    </row>
    <row r="160" ht="15.75" customHeight="1">
      <c r="A160" s="19"/>
      <c r="B160" s="19"/>
      <c r="C160" s="8" t="str">
        <f t="array" ref="C160">IF(B160="","",IFERROR(INDEX('Item Master'!$B:$B,MATCH(B160,'Item Master'!$A:$A,0)),""))</f>
        <v/>
      </c>
      <c r="D160" s="19"/>
      <c r="E160" s="19"/>
      <c r="F160" s="19"/>
      <c r="G160" s="19"/>
      <c r="H160" s="19"/>
      <c r="I160" s="19"/>
      <c r="J160" s="8">
        <f t="shared" si="1"/>
        <v>0</v>
      </c>
      <c r="K160" s="8" t="str">
        <f t="shared" si="2"/>
        <v/>
      </c>
      <c r="L160" s="8" t="str">
        <f t="shared" si="3"/>
        <v/>
      </c>
      <c r="M160" s="8">
        <f t="shared" si="4"/>
        <v>0</v>
      </c>
    </row>
    <row r="161" ht="15.75" customHeight="1">
      <c r="A161" s="19"/>
      <c r="B161" s="19"/>
      <c r="C161" s="8" t="str">
        <f t="array" ref="C161">IF(B161="","",IFERROR(INDEX('Item Master'!$B:$B,MATCH(B161,'Item Master'!$A:$A,0)),""))</f>
        <v/>
      </c>
      <c r="D161" s="19"/>
      <c r="E161" s="19"/>
      <c r="F161" s="19"/>
      <c r="G161" s="19"/>
      <c r="H161" s="19"/>
      <c r="I161" s="19"/>
      <c r="J161" s="8">
        <f t="shared" si="1"/>
        <v>0</v>
      </c>
      <c r="K161" s="8" t="str">
        <f t="shared" si="2"/>
        <v/>
      </c>
      <c r="L161" s="8" t="str">
        <f t="shared" si="3"/>
        <v/>
      </c>
      <c r="M161" s="8">
        <f t="shared" si="4"/>
        <v>0</v>
      </c>
    </row>
    <row r="162" ht="15.75" customHeight="1">
      <c r="A162" s="19"/>
      <c r="B162" s="19"/>
      <c r="C162" s="8" t="str">
        <f t="array" ref="C162">IF(B162="","",IFERROR(INDEX('Item Master'!$B:$B,MATCH(B162,'Item Master'!$A:$A,0)),""))</f>
        <v/>
      </c>
      <c r="D162" s="19"/>
      <c r="E162" s="19"/>
      <c r="F162" s="19"/>
      <c r="G162" s="19"/>
      <c r="H162" s="19"/>
      <c r="I162" s="19"/>
      <c r="J162" s="8">
        <f t="shared" si="1"/>
        <v>0</v>
      </c>
      <c r="K162" s="8" t="str">
        <f t="shared" si="2"/>
        <v/>
      </c>
      <c r="L162" s="8" t="str">
        <f t="shared" si="3"/>
        <v/>
      </c>
      <c r="M162" s="8">
        <f t="shared" si="4"/>
        <v>0</v>
      </c>
    </row>
    <row r="163" ht="15.75" customHeight="1">
      <c r="A163" s="19"/>
      <c r="B163" s="19"/>
      <c r="C163" s="8" t="str">
        <f t="array" ref="C163">IF(B163="","",IFERROR(INDEX('Item Master'!$B:$B,MATCH(B163,'Item Master'!$A:$A,0)),""))</f>
        <v/>
      </c>
      <c r="D163" s="19"/>
      <c r="E163" s="19"/>
      <c r="F163" s="19"/>
      <c r="G163" s="19"/>
      <c r="H163" s="19"/>
      <c r="I163" s="19"/>
      <c r="J163" s="8">
        <f t="shared" si="1"/>
        <v>0</v>
      </c>
      <c r="K163" s="8" t="str">
        <f t="shared" si="2"/>
        <v/>
      </c>
      <c r="L163" s="8" t="str">
        <f t="shared" si="3"/>
        <v/>
      </c>
      <c r="M163" s="8">
        <f t="shared" si="4"/>
        <v>0</v>
      </c>
    </row>
    <row r="164" ht="15.75" customHeight="1">
      <c r="A164" s="19"/>
      <c r="B164" s="19"/>
      <c r="C164" s="8" t="str">
        <f t="array" ref="C164">IF(B164="","",IFERROR(INDEX('Item Master'!$B:$B,MATCH(B164,'Item Master'!$A:$A,0)),""))</f>
        <v/>
      </c>
      <c r="D164" s="19"/>
      <c r="E164" s="19"/>
      <c r="F164" s="19"/>
      <c r="G164" s="19"/>
      <c r="H164" s="19"/>
      <c r="I164" s="19"/>
      <c r="J164" s="8">
        <f t="shared" si="1"/>
        <v>0</v>
      </c>
      <c r="K164" s="8" t="str">
        <f t="shared" si="2"/>
        <v/>
      </c>
      <c r="L164" s="8" t="str">
        <f t="shared" si="3"/>
        <v/>
      </c>
      <c r="M164" s="8">
        <f t="shared" si="4"/>
        <v>0</v>
      </c>
    </row>
    <row r="165" ht="15.75" customHeight="1">
      <c r="A165" s="19"/>
      <c r="B165" s="19"/>
      <c r="C165" s="8" t="str">
        <f t="array" ref="C165">IF(B165="","",IFERROR(INDEX('Item Master'!$B:$B,MATCH(B165,'Item Master'!$A:$A,0)),""))</f>
        <v/>
      </c>
      <c r="D165" s="19"/>
      <c r="E165" s="19"/>
      <c r="F165" s="19"/>
      <c r="G165" s="19"/>
      <c r="H165" s="19"/>
      <c r="I165" s="19"/>
      <c r="J165" s="8">
        <f t="shared" si="1"/>
        <v>0</v>
      </c>
      <c r="K165" s="8" t="str">
        <f t="shared" si="2"/>
        <v/>
      </c>
      <c r="L165" s="8" t="str">
        <f t="shared" si="3"/>
        <v/>
      </c>
      <c r="M165" s="8">
        <f t="shared" si="4"/>
        <v>0</v>
      </c>
    </row>
    <row r="166" ht="15.75" customHeight="1">
      <c r="A166" s="19"/>
      <c r="B166" s="19"/>
      <c r="C166" s="8" t="str">
        <f t="array" ref="C166">IF(B166="","",IFERROR(INDEX('Item Master'!$B:$B,MATCH(B166,'Item Master'!$A:$A,0)),""))</f>
        <v/>
      </c>
      <c r="D166" s="19"/>
      <c r="E166" s="19"/>
      <c r="F166" s="19"/>
      <c r="G166" s="19"/>
      <c r="H166" s="19"/>
      <c r="I166" s="19"/>
      <c r="J166" s="8">
        <f t="shared" si="1"/>
        <v>0</v>
      </c>
      <c r="K166" s="8" t="str">
        <f t="shared" si="2"/>
        <v/>
      </c>
      <c r="L166" s="8" t="str">
        <f t="shared" si="3"/>
        <v/>
      </c>
      <c r="M166" s="8">
        <f t="shared" si="4"/>
        <v>0</v>
      </c>
    </row>
    <row r="167" ht="15.75" customHeight="1">
      <c r="A167" s="19"/>
      <c r="B167" s="19"/>
      <c r="C167" s="8" t="str">
        <f t="array" ref="C167">IF(B167="","",IFERROR(INDEX('Item Master'!$B:$B,MATCH(B167,'Item Master'!$A:$A,0)),""))</f>
        <v/>
      </c>
      <c r="D167" s="19"/>
      <c r="E167" s="19"/>
      <c r="F167" s="19"/>
      <c r="G167" s="19"/>
      <c r="H167" s="19"/>
      <c r="I167" s="19"/>
      <c r="J167" s="8">
        <f t="shared" si="1"/>
        <v>0</v>
      </c>
      <c r="K167" s="8" t="str">
        <f t="shared" si="2"/>
        <v/>
      </c>
      <c r="L167" s="8" t="str">
        <f t="shared" si="3"/>
        <v/>
      </c>
      <c r="M167" s="8">
        <f t="shared" si="4"/>
        <v>0</v>
      </c>
    </row>
    <row r="168" ht="15.75" customHeight="1">
      <c r="A168" s="19"/>
      <c r="B168" s="19"/>
      <c r="C168" s="8" t="str">
        <f t="array" ref="C168">IF(B168="","",IFERROR(INDEX('Item Master'!$B:$B,MATCH(B168,'Item Master'!$A:$A,0)),""))</f>
        <v/>
      </c>
      <c r="D168" s="19"/>
      <c r="E168" s="19"/>
      <c r="F168" s="19"/>
      <c r="G168" s="19"/>
      <c r="H168" s="19"/>
      <c r="I168" s="19"/>
      <c r="J168" s="8">
        <f t="shared" si="1"/>
        <v>0</v>
      </c>
      <c r="K168" s="8" t="str">
        <f t="shared" si="2"/>
        <v/>
      </c>
      <c r="L168" s="8" t="str">
        <f t="shared" si="3"/>
        <v/>
      </c>
      <c r="M168" s="8">
        <f t="shared" si="4"/>
        <v>0</v>
      </c>
    </row>
    <row r="169" ht="15.75" customHeight="1">
      <c r="A169" s="19"/>
      <c r="B169" s="19"/>
      <c r="C169" s="8" t="str">
        <f t="array" ref="C169">IF(B169="","",IFERROR(INDEX('Item Master'!$B:$B,MATCH(B169,'Item Master'!$A:$A,0)),""))</f>
        <v/>
      </c>
      <c r="D169" s="19"/>
      <c r="E169" s="19"/>
      <c r="F169" s="19"/>
      <c r="G169" s="19"/>
      <c r="H169" s="19"/>
      <c r="I169" s="19"/>
      <c r="J169" s="8">
        <f t="shared" si="1"/>
        <v>0</v>
      </c>
      <c r="K169" s="8" t="str">
        <f t="shared" si="2"/>
        <v/>
      </c>
      <c r="L169" s="8" t="str">
        <f t="shared" si="3"/>
        <v/>
      </c>
      <c r="M169" s="8">
        <f t="shared" si="4"/>
        <v>0</v>
      </c>
    </row>
    <row r="170" ht="15.75" customHeight="1">
      <c r="A170" s="19"/>
      <c r="B170" s="19"/>
      <c r="C170" s="8" t="str">
        <f t="array" ref="C170">IF(B170="","",IFERROR(INDEX('Item Master'!$B:$B,MATCH(B170,'Item Master'!$A:$A,0)),""))</f>
        <v/>
      </c>
      <c r="D170" s="19"/>
      <c r="E170" s="19"/>
      <c r="F170" s="19"/>
      <c r="G170" s="19"/>
      <c r="H170" s="19"/>
      <c r="I170" s="19"/>
      <c r="J170" s="8">
        <f t="shared" si="1"/>
        <v>0</v>
      </c>
      <c r="K170" s="8" t="str">
        <f t="shared" si="2"/>
        <v/>
      </c>
      <c r="L170" s="8" t="str">
        <f t="shared" si="3"/>
        <v/>
      </c>
      <c r="M170" s="8">
        <f t="shared" si="4"/>
        <v>0</v>
      </c>
    </row>
    <row r="171" ht="15.75" customHeight="1">
      <c r="A171" s="19"/>
      <c r="B171" s="19"/>
      <c r="C171" s="8" t="str">
        <f t="array" ref="C171">IF(B171="","",IFERROR(INDEX('Item Master'!$B:$B,MATCH(B171,'Item Master'!$A:$A,0)),""))</f>
        <v/>
      </c>
      <c r="D171" s="19"/>
      <c r="E171" s="19"/>
      <c r="F171" s="19"/>
      <c r="G171" s="19"/>
      <c r="H171" s="19"/>
      <c r="I171" s="19"/>
      <c r="J171" s="8">
        <f t="shared" si="1"/>
        <v>0</v>
      </c>
      <c r="K171" s="8" t="str">
        <f t="shared" si="2"/>
        <v/>
      </c>
      <c r="L171" s="8" t="str">
        <f t="shared" si="3"/>
        <v/>
      </c>
      <c r="M171" s="8">
        <f t="shared" si="4"/>
        <v>0</v>
      </c>
    </row>
    <row r="172" ht="15.75" customHeight="1">
      <c r="A172" s="19"/>
      <c r="B172" s="19"/>
      <c r="C172" s="8" t="str">
        <f t="array" ref="C172">IF(B172="","",IFERROR(INDEX('Item Master'!$B:$B,MATCH(B172,'Item Master'!$A:$A,0)),""))</f>
        <v/>
      </c>
      <c r="D172" s="19"/>
      <c r="E172" s="19"/>
      <c r="F172" s="19"/>
      <c r="G172" s="19"/>
      <c r="H172" s="19"/>
      <c r="I172" s="19"/>
      <c r="J172" s="8">
        <f t="shared" si="1"/>
        <v>0</v>
      </c>
      <c r="K172" s="8" t="str">
        <f t="shared" si="2"/>
        <v/>
      </c>
      <c r="L172" s="8" t="str">
        <f t="shared" si="3"/>
        <v/>
      </c>
      <c r="M172" s="8">
        <f t="shared" si="4"/>
        <v>0</v>
      </c>
    </row>
    <row r="173" ht="15.75" customHeight="1">
      <c r="A173" s="19"/>
      <c r="B173" s="19"/>
      <c r="C173" s="8" t="str">
        <f t="array" ref="C173">IF(B173="","",IFERROR(INDEX('Item Master'!$B:$B,MATCH(B173,'Item Master'!$A:$A,0)),""))</f>
        <v/>
      </c>
      <c r="D173" s="19"/>
      <c r="E173" s="19"/>
      <c r="F173" s="19"/>
      <c r="G173" s="19"/>
      <c r="H173" s="19"/>
      <c r="I173" s="19"/>
      <c r="J173" s="8">
        <f t="shared" si="1"/>
        <v>0</v>
      </c>
      <c r="K173" s="8" t="str">
        <f t="shared" si="2"/>
        <v/>
      </c>
      <c r="L173" s="8" t="str">
        <f t="shared" si="3"/>
        <v/>
      </c>
      <c r="M173" s="8">
        <f t="shared" si="4"/>
        <v>0</v>
      </c>
    </row>
    <row r="174" ht="15.75" customHeight="1">
      <c r="A174" s="19"/>
      <c r="B174" s="19"/>
      <c r="C174" s="8" t="str">
        <f t="array" ref="C174">IF(B174="","",IFERROR(INDEX('Item Master'!$B:$B,MATCH(B174,'Item Master'!$A:$A,0)),""))</f>
        <v/>
      </c>
      <c r="D174" s="19"/>
      <c r="E174" s="19"/>
      <c r="F174" s="19"/>
      <c r="G174" s="19"/>
      <c r="H174" s="19"/>
      <c r="I174" s="19"/>
      <c r="J174" s="8">
        <f t="shared" si="1"/>
        <v>0</v>
      </c>
      <c r="K174" s="8" t="str">
        <f t="shared" si="2"/>
        <v/>
      </c>
      <c r="L174" s="8" t="str">
        <f t="shared" si="3"/>
        <v/>
      </c>
      <c r="M174" s="8">
        <f t="shared" si="4"/>
        <v>0</v>
      </c>
    </row>
    <row r="175" ht="15.75" customHeight="1">
      <c r="A175" s="19"/>
      <c r="B175" s="19"/>
      <c r="C175" s="8" t="str">
        <f t="array" ref="C175">IF(B175="","",IFERROR(INDEX('Item Master'!$B:$B,MATCH(B175,'Item Master'!$A:$A,0)),""))</f>
        <v/>
      </c>
      <c r="D175" s="19"/>
      <c r="E175" s="19"/>
      <c r="F175" s="19"/>
      <c r="G175" s="19"/>
      <c r="H175" s="19"/>
      <c r="I175" s="19"/>
      <c r="J175" s="8">
        <f t="shared" si="1"/>
        <v>0</v>
      </c>
      <c r="K175" s="8" t="str">
        <f t="shared" si="2"/>
        <v/>
      </c>
      <c r="L175" s="8" t="str">
        <f t="shared" si="3"/>
        <v/>
      </c>
      <c r="M175" s="8">
        <f t="shared" si="4"/>
        <v>0</v>
      </c>
    </row>
    <row r="176" ht="15.75" customHeight="1">
      <c r="A176" s="19"/>
      <c r="B176" s="19"/>
      <c r="C176" s="8" t="str">
        <f t="array" ref="C176">IF(B176="","",IFERROR(INDEX('Item Master'!$B:$B,MATCH(B176,'Item Master'!$A:$A,0)),""))</f>
        <v/>
      </c>
      <c r="D176" s="19"/>
      <c r="E176" s="19"/>
      <c r="F176" s="19"/>
      <c r="G176" s="19"/>
      <c r="H176" s="19"/>
      <c r="I176" s="19"/>
      <c r="J176" s="8">
        <f t="shared" si="1"/>
        <v>0</v>
      </c>
      <c r="K176" s="8" t="str">
        <f t="shared" si="2"/>
        <v/>
      </c>
      <c r="L176" s="8" t="str">
        <f t="shared" si="3"/>
        <v/>
      </c>
      <c r="M176" s="8">
        <f t="shared" si="4"/>
        <v>0</v>
      </c>
    </row>
    <row r="177" ht="15.75" customHeight="1">
      <c r="A177" s="19"/>
      <c r="B177" s="19"/>
      <c r="C177" s="8" t="str">
        <f t="array" ref="C177">IF(B177="","",IFERROR(INDEX('Item Master'!$B:$B,MATCH(B177,'Item Master'!$A:$A,0)),""))</f>
        <v/>
      </c>
      <c r="D177" s="19"/>
      <c r="E177" s="19"/>
      <c r="F177" s="19"/>
      <c r="G177" s="19"/>
      <c r="H177" s="19"/>
      <c r="I177" s="19"/>
      <c r="J177" s="8">
        <f t="shared" si="1"/>
        <v>0</v>
      </c>
      <c r="K177" s="8" t="str">
        <f t="shared" si="2"/>
        <v/>
      </c>
      <c r="L177" s="8" t="str">
        <f t="shared" si="3"/>
        <v/>
      </c>
      <c r="M177" s="8">
        <f t="shared" si="4"/>
        <v>0</v>
      </c>
    </row>
    <row r="178" ht="15.75" customHeight="1">
      <c r="A178" s="19"/>
      <c r="B178" s="19"/>
      <c r="C178" s="8" t="str">
        <f t="array" ref="C178">IF(B178="","",IFERROR(INDEX('Item Master'!$B:$B,MATCH(B178,'Item Master'!$A:$A,0)),""))</f>
        <v/>
      </c>
      <c r="D178" s="19"/>
      <c r="E178" s="19"/>
      <c r="F178" s="19"/>
      <c r="G178" s="19"/>
      <c r="H178" s="19"/>
      <c r="I178" s="19"/>
      <c r="J178" s="8">
        <f t="shared" si="1"/>
        <v>0</v>
      </c>
      <c r="K178" s="8" t="str">
        <f t="shared" si="2"/>
        <v/>
      </c>
      <c r="L178" s="8" t="str">
        <f t="shared" si="3"/>
        <v/>
      </c>
      <c r="M178" s="8">
        <f t="shared" si="4"/>
        <v>0</v>
      </c>
    </row>
    <row r="179" ht="15.75" customHeight="1">
      <c r="A179" s="19"/>
      <c r="B179" s="19"/>
      <c r="C179" s="8" t="str">
        <f t="array" ref="C179">IF(B179="","",IFERROR(INDEX('Item Master'!$B:$B,MATCH(B179,'Item Master'!$A:$A,0)),""))</f>
        <v/>
      </c>
      <c r="D179" s="19"/>
      <c r="E179" s="19"/>
      <c r="F179" s="19"/>
      <c r="G179" s="19"/>
      <c r="H179" s="19"/>
      <c r="I179" s="19"/>
      <c r="J179" s="8">
        <f t="shared" si="1"/>
        <v>0</v>
      </c>
      <c r="K179" s="8" t="str">
        <f t="shared" si="2"/>
        <v/>
      </c>
      <c r="L179" s="8" t="str">
        <f t="shared" si="3"/>
        <v/>
      </c>
      <c r="M179" s="8">
        <f t="shared" si="4"/>
        <v>0</v>
      </c>
    </row>
    <row r="180" ht="15.75" customHeight="1">
      <c r="A180" s="19"/>
      <c r="B180" s="19"/>
      <c r="C180" s="8" t="str">
        <f t="array" ref="C180">IF(B180="","",IFERROR(INDEX('Item Master'!$B:$B,MATCH(B180,'Item Master'!$A:$A,0)),""))</f>
        <v/>
      </c>
      <c r="D180" s="19"/>
      <c r="E180" s="19"/>
      <c r="F180" s="19"/>
      <c r="G180" s="19"/>
      <c r="H180" s="19"/>
      <c r="I180" s="19"/>
      <c r="J180" s="8">
        <f t="shared" si="1"/>
        <v>0</v>
      </c>
      <c r="K180" s="8" t="str">
        <f t="shared" si="2"/>
        <v/>
      </c>
      <c r="L180" s="8" t="str">
        <f t="shared" si="3"/>
        <v/>
      </c>
      <c r="M180" s="8">
        <f t="shared" si="4"/>
        <v>0</v>
      </c>
    </row>
    <row r="181" ht="15.75" customHeight="1">
      <c r="A181" s="19"/>
      <c r="B181" s="19"/>
      <c r="C181" s="8" t="str">
        <f t="array" ref="C181">IF(B181="","",IFERROR(INDEX('Item Master'!$B:$B,MATCH(B181,'Item Master'!$A:$A,0)),""))</f>
        <v/>
      </c>
      <c r="D181" s="19"/>
      <c r="E181" s="19"/>
      <c r="F181" s="19"/>
      <c r="G181" s="19"/>
      <c r="H181" s="19"/>
      <c r="I181" s="19"/>
      <c r="J181" s="8">
        <f t="shared" si="1"/>
        <v>0</v>
      </c>
      <c r="K181" s="8" t="str">
        <f t="shared" si="2"/>
        <v/>
      </c>
      <c r="L181" s="8" t="str">
        <f t="shared" si="3"/>
        <v/>
      </c>
      <c r="M181" s="8">
        <f t="shared" si="4"/>
        <v>0</v>
      </c>
    </row>
    <row r="182" ht="15.75" customHeight="1">
      <c r="A182" s="19"/>
      <c r="B182" s="19"/>
      <c r="C182" s="8" t="str">
        <f t="array" ref="C182">IF(B182="","",IFERROR(INDEX('Item Master'!$B:$B,MATCH(B182,'Item Master'!$A:$A,0)),""))</f>
        <v/>
      </c>
      <c r="D182" s="19"/>
      <c r="E182" s="19"/>
      <c r="F182" s="19"/>
      <c r="G182" s="19"/>
      <c r="H182" s="19"/>
      <c r="I182" s="19"/>
      <c r="J182" s="8">
        <f t="shared" si="1"/>
        <v>0</v>
      </c>
      <c r="K182" s="8" t="str">
        <f t="shared" si="2"/>
        <v/>
      </c>
      <c r="L182" s="8" t="str">
        <f t="shared" si="3"/>
        <v/>
      </c>
      <c r="M182" s="8">
        <f t="shared" si="4"/>
        <v>0</v>
      </c>
    </row>
    <row r="183" ht="15.75" customHeight="1">
      <c r="A183" s="19"/>
      <c r="B183" s="19"/>
      <c r="C183" s="8" t="str">
        <f t="array" ref="C183">IF(B183="","",IFERROR(INDEX('Item Master'!$B:$B,MATCH(B183,'Item Master'!$A:$A,0)),""))</f>
        <v/>
      </c>
      <c r="D183" s="19"/>
      <c r="E183" s="19"/>
      <c r="F183" s="19"/>
      <c r="G183" s="19"/>
      <c r="H183" s="19"/>
      <c r="I183" s="19"/>
      <c r="J183" s="8">
        <f t="shared" si="1"/>
        <v>0</v>
      </c>
      <c r="K183" s="8" t="str">
        <f t="shared" si="2"/>
        <v/>
      </c>
      <c r="L183" s="8" t="str">
        <f t="shared" si="3"/>
        <v/>
      </c>
      <c r="M183" s="8">
        <f t="shared" si="4"/>
        <v>0</v>
      </c>
    </row>
    <row r="184" ht="15.75" customHeight="1">
      <c r="A184" s="19"/>
      <c r="B184" s="19"/>
      <c r="C184" s="8" t="str">
        <f t="array" ref="C184">IF(B184="","",IFERROR(INDEX('Item Master'!$B:$B,MATCH(B184,'Item Master'!$A:$A,0)),""))</f>
        <v/>
      </c>
      <c r="D184" s="19"/>
      <c r="E184" s="19"/>
      <c r="F184" s="19"/>
      <c r="G184" s="19"/>
      <c r="H184" s="19"/>
      <c r="I184" s="19"/>
      <c r="J184" s="8">
        <f t="shared" si="1"/>
        <v>0</v>
      </c>
      <c r="K184" s="8" t="str">
        <f t="shared" si="2"/>
        <v/>
      </c>
      <c r="L184" s="8" t="str">
        <f t="shared" si="3"/>
        <v/>
      </c>
      <c r="M184" s="8">
        <f t="shared" si="4"/>
        <v>0</v>
      </c>
    </row>
    <row r="185" ht="15.75" customHeight="1">
      <c r="A185" s="19"/>
      <c r="B185" s="19"/>
      <c r="C185" s="8" t="str">
        <f t="array" ref="C185">IF(B185="","",IFERROR(INDEX('Item Master'!$B:$B,MATCH(B185,'Item Master'!$A:$A,0)),""))</f>
        <v/>
      </c>
      <c r="D185" s="19"/>
      <c r="E185" s="19"/>
      <c r="F185" s="19"/>
      <c r="G185" s="19"/>
      <c r="H185" s="19"/>
      <c r="I185" s="19"/>
      <c r="J185" s="8">
        <f t="shared" si="1"/>
        <v>0</v>
      </c>
      <c r="K185" s="8" t="str">
        <f t="shared" si="2"/>
        <v/>
      </c>
      <c r="L185" s="8" t="str">
        <f t="shared" si="3"/>
        <v/>
      </c>
      <c r="M185" s="8">
        <f t="shared" si="4"/>
        <v>0</v>
      </c>
    </row>
    <row r="186" ht="15.75" customHeight="1">
      <c r="A186" s="19"/>
      <c r="B186" s="19"/>
      <c r="C186" s="8" t="str">
        <f t="array" ref="C186">IF(B186="","",IFERROR(INDEX('Item Master'!$B:$B,MATCH(B186,'Item Master'!$A:$A,0)),""))</f>
        <v/>
      </c>
      <c r="D186" s="19"/>
      <c r="E186" s="19"/>
      <c r="F186" s="19"/>
      <c r="G186" s="19"/>
      <c r="H186" s="19"/>
      <c r="I186" s="19"/>
      <c r="J186" s="8">
        <f t="shared" si="1"/>
        <v>0</v>
      </c>
      <c r="K186" s="8" t="str">
        <f t="shared" si="2"/>
        <v/>
      </c>
      <c r="L186" s="8" t="str">
        <f t="shared" si="3"/>
        <v/>
      </c>
      <c r="M186" s="8">
        <f t="shared" si="4"/>
        <v>0</v>
      </c>
    </row>
    <row r="187" ht="15.75" customHeight="1">
      <c r="A187" s="19"/>
      <c r="B187" s="19"/>
      <c r="C187" s="8" t="str">
        <f t="array" ref="C187">IF(B187="","",IFERROR(INDEX('Item Master'!$B:$B,MATCH(B187,'Item Master'!$A:$A,0)),""))</f>
        <v/>
      </c>
      <c r="D187" s="19"/>
      <c r="E187" s="19"/>
      <c r="F187" s="19"/>
      <c r="G187" s="19"/>
      <c r="H187" s="19"/>
      <c r="I187" s="19"/>
      <c r="J187" s="8">
        <f t="shared" si="1"/>
        <v>0</v>
      </c>
      <c r="K187" s="8" t="str">
        <f t="shared" si="2"/>
        <v/>
      </c>
      <c r="L187" s="8" t="str">
        <f t="shared" si="3"/>
        <v/>
      </c>
      <c r="M187" s="8">
        <f t="shared" si="4"/>
        <v>0</v>
      </c>
    </row>
    <row r="188" ht="15.75" customHeight="1">
      <c r="A188" s="19"/>
      <c r="B188" s="19"/>
      <c r="C188" s="8" t="str">
        <f t="array" ref="C188">IF(B188="","",IFERROR(INDEX('Item Master'!$B:$B,MATCH(B188,'Item Master'!$A:$A,0)),""))</f>
        <v/>
      </c>
      <c r="D188" s="19"/>
      <c r="E188" s="19"/>
      <c r="F188" s="19"/>
      <c r="G188" s="19"/>
      <c r="H188" s="19"/>
      <c r="I188" s="19"/>
      <c r="J188" s="8">
        <f t="shared" si="1"/>
        <v>0</v>
      </c>
      <c r="K188" s="8" t="str">
        <f t="shared" si="2"/>
        <v/>
      </c>
      <c r="L188" s="8" t="str">
        <f t="shared" si="3"/>
        <v/>
      </c>
      <c r="M188" s="8">
        <f t="shared" si="4"/>
        <v>0</v>
      </c>
    </row>
    <row r="189" ht="15.75" customHeight="1">
      <c r="A189" s="19"/>
      <c r="B189" s="19"/>
      <c r="C189" s="8" t="str">
        <f t="array" ref="C189">IF(B189="","",IFERROR(INDEX('Item Master'!$B:$B,MATCH(B189,'Item Master'!$A:$A,0)),""))</f>
        <v/>
      </c>
      <c r="D189" s="19"/>
      <c r="E189" s="19"/>
      <c r="F189" s="19"/>
      <c r="G189" s="19"/>
      <c r="H189" s="19"/>
      <c r="I189" s="19"/>
      <c r="J189" s="8">
        <f t="shared" si="1"/>
        <v>0</v>
      </c>
      <c r="K189" s="8" t="str">
        <f t="shared" si="2"/>
        <v/>
      </c>
      <c r="L189" s="8" t="str">
        <f t="shared" si="3"/>
        <v/>
      </c>
      <c r="M189" s="8">
        <f t="shared" si="4"/>
        <v>0</v>
      </c>
    </row>
    <row r="190" ht="15.75" customHeight="1">
      <c r="A190" s="19"/>
      <c r="B190" s="19"/>
      <c r="C190" s="8" t="str">
        <f t="array" ref="C190">IF(B190="","",IFERROR(INDEX('Item Master'!$B:$B,MATCH(B190,'Item Master'!$A:$A,0)),""))</f>
        <v/>
      </c>
      <c r="D190" s="19"/>
      <c r="E190" s="19"/>
      <c r="F190" s="19"/>
      <c r="G190" s="19"/>
      <c r="H190" s="19"/>
      <c r="I190" s="19"/>
      <c r="J190" s="8">
        <f t="shared" si="1"/>
        <v>0</v>
      </c>
      <c r="K190" s="8" t="str">
        <f t="shared" si="2"/>
        <v/>
      </c>
      <c r="L190" s="8" t="str">
        <f t="shared" si="3"/>
        <v/>
      </c>
      <c r="M190" s="8">
        <f t="shared" si="4"/>
        <v>0</v>
      </c>
    </row>
    <row r="191" ht="15.75" customHeight="1">
      <c r="A191" s="19"/>
      <c r="B191" s="19"/>
      <c r="C191" s="8" t="str">
        <f t="array" ref="C191">IF(B191="","",IFERROR(INDEX('Item Master'!$B:$B,MATCH(B191,'Item Master'!$A:$A,0)),""))</f>
        <v/>
      </c>
      <c r="D191" s="19"/>
      <c r="E191" s="19"/>
      <c r="F191" s="19"/>
      <c r="G191" s="19"/>
      <c r="H191" s="19"/>
      <c r="I191" s="19"/>
      <c r="J191" s="8">
        <f t="shared" si="1"/>
        <v>0</v>
      </c>
      <c r="K191" s="8" t="str">
        <f t="shared" si="2"/>
        <v/>
      </c>
      <c r="L191" s="8" t="str">
        <f t="shared" si="3"/>
        <v/>
      </c>
      <c r="M191" s="8">
        <f t="shared" si="4"/>
        <v>0</v>
      </c>
    </row>
    <row r="192" ht="15.75" customHeight="1">
      <c r="A192" s="19"/>
      <c r="B192" s="19"/>
      <c r="C192" s="8" t="str">
        <f t="array" ref="C192">IF(B192="","",IFERROR(INDEX('Item Master'!$B:$B,MATCH(B192,'Item Master'!$A:$A,0)),""))</f>
        <v/>
      </c>
      <c r="D192" s="19"/>
      <c r="E192" s="19"/>
      <c r="F192" s="19"/>
      <c r="G192" s="19"/>
      <c r="H192" s="19"/>
      <c r="I192" s="19"/>
      <c r="J192" s="8">
        <f t="shared" si="1"/>
        <v>0</v>
      </c>
      <c r="K192" s="8" t="str">
        <f t="shared" si="2"/>
        <v/>
      </c>
      <c r="L192" s="8" t="str">
        <f t="shared" si="3"/>
        <v/>
      </c>
      <c r="M192" s="8">
        <f t="shared" si="4"/>
        <v>0</v>
      </c>
    </row>
    <row r="193" ht="15.75" customHeight="1">
      <c r="A193" s="19"/>
      <c r="B193" s="19"/>
      <c r="C193" s="8" t="str">
        <f t="array" ref="C193">IF(B193="","",IFERROR(INDEX('Item Master'!$B:$B,MATCH(B193,'Item Master'!$A:$A,0)),""))</f>
        <v/>
      </c>
      <c r="D193" s="19"/>
      <c r="E193" s="19"/>
      <c r="F193" s="19"/>
      <c r="G193" s="19"/>
      <c r="H193" s="19"/>
      <c r="I193" s="19"/>
      <c r="J193" s="8">
        <f t="shared" si="1"/>
        <v>0</v>
      </c>
      <c r="K193" s="8" t="str">
        <f t="shared" si="2"/>
        <v/>
      </c>
      <c r="L193" s="8" t="str">
        <f t="shared" si="3"/>
        <v/>
      </c>
      <c r="M193" s="8">
        <f t="shared" si="4"/>
        <v>0</v>
      </c>
    </row>
    <row r="194" ht="15.75" customHeight="1">
      <c r="A194" s="19"/>
      <c r="B194" s="19"/>
      <c r="C194" s="8" t="str">
        <f t="array" ref="C194">IF(B194="","",IFERROR(INDEX('Item Master'!$B:$B,MATCH(B194,'Item Master'!$A:$A,0)),""))</f>
        <v/>
      </c>
      <c r="D194" s="19"/>
      <c r="E194" s="19"/>
      <c r="F194" s="19"/>
      <c r="G194" s="19"/>
      <c r="H194" s="19"/>
      <c r="I194" s="19"/>
      <c r="J194" s="8">
        <f t="shared" si="1"/>
        <v>0</v>
      </c>
      <c r="K194" s="8" t="str">
        <f t="shared" si="2"/>
        <v/>
      </c>
      <c r="L194" s="8" t="str">
        <f t="shared" si="3"/>
        <v/>
      </c>
      <c r="M194" s="8">
        <f t="shared" si="4"/>
        <v>0</v>
      </c>
    </row>
    <row r="195" ht="15.75" customHeight="1">
      <c r="A195" s="19"/>
      <c r="B195" s="19"/>
      <c r="C195" s="8" t="str">
        <f t="array" ref="C195">IF(B195="","",IFERROR(INDEX('Item Master'!$B:$B,MATCH(B195,'Item Master'!$A:$A,0)),""))</f>
        <v/>
      </c>
      <c r="D195" s="19"/>
      <c r="E195" s="19"/>
      <c r="F195" s="19"/>
      <c r="G195" s="19"/>
      <c r="H195" s="19"/>
      <c r="I195" s="19"/>
      <c r="J195" s="8">
        <f t="shared" si="1"/>
        <v>0</v>
      </c>
      <c r="K195" s="8" t="str">
        <f t="shared" si="2"/>
        <v/>
      </c>
      <c r="L195" s="8" t="str">
        <f t="shared" si="3"/>
        <v/>
      </c>
      <c r="M195" s="8">
        <f t="shared" si="4"/>
        <v>0</v>
      </c>
    </row>
    <row r="196" ht="15.75" customHeight="1">
      <c r="A196" s="19"/>
      <c r="B196" s="19"/>
      <c r="C196" s="8" t="str">
        <f t="array" ref="C196">IF(B196="","",IFERROR(INDEX('Item Master'!$B:$B,MATCH(B196,'Item Master'!$A:$A,0)),""))</f>
        <v/>
      </c>
      <c r="D196" s="19"/>
      <c r="E196" s="19"/>
      <c r="F196" s="19"/>
      <c r="G196" s="19"/>
      <c r="H196" s="19"/>
      <c r="I196" s="19"/>
      <c r="J196" s="8">
        <f t="shared" si="1"/>
        <v>0</v>
      </c>
      <c r="K196" s="8" t="str">
        <f t="shared" si="2"/>
        <v/>
      </c>
      <c r="L196" s="8" t="str">
        <f t="shared" si="3"/>
        <v/>
      </c>
      <c r="M196" s="8">
        <f t="shared" si="4"/>
        <v>0</v>
      </c>
    </row>
    <row r="197" ht="15.75" customHeight="1">
      <c r="A197" s="19"/>
      <c r="B197" s="19"/>
      <c r="C197" s="8" t="str">
        <f t="array" ref="C197">IF(B197="","",IFERROR(INDEX('Item Master'!$B:$B,MATCH(B197,'Item Master'!$A:$A,0)),""))</f>
        <v/>
      </c>
      <c r="D197" s="19"/>
      <c r="E197" s="19"/>
      <c r="F197" s="19"/>
      <c r="G197" s="19"/>
      <c r="H197" s="19"/>
      <c r="I197" s="19"/>
      <c r="J197" s="8">
        <f t="shared" si="1"/>
        <v>0</v>
      </c>
      <c r="K197" s="8" t="str">
        <f t="shared" si="2"/>
        <v/>
      </c>
      <c r="L197" s="8" t="str">
        <f t="shared" si="3"/>
        <v/>
      </c>
      <c r="M197" s="8">
        <f t="shared" si="4"/>
        <v>0</v>
      </c>
    </row>
    <row r="198" ht="15.75" customHeight="1">
      <c r="A198" s="19"/>
      <c r="B198" s="19"/>
      <c r="C198" s="8" t="str">
        <f t="array" ref="C198">IF(B198="","",IFERROR(INDEX('Item Master'!$B:$B,MATCH(B198,'Item Master'!$A:$A,0)),""))</f>
        <v/>
      </c>
      <c r="D198" s="19"/>
      <c r="E198" s="19"/>
      <c r="F198" s="19"/>
      <c r="G198" s="19"/>
      <c r="H198" s="19"/>
      <c r="I198" s="19"/>
      <c r="J198" s="8">
        <f t="shared" si="1"/>
        <v>0</v>
      </c>
      <c r="K198" s="8" t="str">
        <f t="shared" si="2"/>
        <v/>
      </c>
      <c r="L198" s="8" t="str">
        <f t="shared" si="3"/>
        <v/>
      </c>
      <c r="M198" s="8">
        <f t="shared" si="4"/>
        <v>0</v>
      </c>
    </row>
    <row r="199" ht="15.75" customHeight="1">
      <c r="A199" s="19"/>
      <c r="B199" s="19"/>
      <c r="C199" s="8" t="str">
        <f t="array" ref="C199">IF(B199="","",IFERROR(INDEX('Item Master'!$B:$B,MATCH(B199,'Item Master'!$A:$A,0)),""))</f>
        <v/>
      </c>
      <c r="D199" s="19"/>
      <c r="E199" s="19"/>
      <c r="F199" s="19"/>
      <c r="G199" s="19"/>
      <c r="H199" s="19"/>
      <c r="I199" s="19"/>
      <c r="J199" s="8">
        <f t="shared" si="1"/>
        <v>0</v>
      </c>
      <c r="K199" s="8" t="str">
        <f t="shared" si="2"/>
        <v/>
      </c>
      <c r="L199" s="8" t="str">
        <f t="shared" si="3"/>
        <v/>
      </c>
      <c r="M199" s="8">
        <f t="shared" si="4"/>
        <v>0</v>
      </c>
    </row>
    <row r="200" ht="15.75" customHeight="1">
      <c r="A200" s="19"/>
      <c r="B200" s="19"/>
      <c r="C200" s="8" t="str">
        <f t="array" ref="C200">IF(B200="","",IFERROR(INDEX('Item Master'!$B:$B,MATCH(B200,'Item Master'!$A:$A,0)),""))</f>
        <v/>
      </c>
      <c r="D200" s="19"/>
      <c r="E200" s="19"/>
      <c r="F200" s="19"/>
      <c r="G200" s="19"/>
      <c r="H200" s="19"/>
      <c r="I200" s="19"/>
      <c r="J200" s="8">
        <f t="shared" si="1"/>
        <v>0</v>
      </c>
      <c r="K200" s="8" t="str">
        <f t="shared" si="2"/>
        <v/>
      </c>
      <c r="L200" s="8" t="str">
        <f t="shared" si="3"/>
        <v/>
      </c>
      <c r="M200" s="8">
        <f t="shared" si="4"/>
        <v>0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200">
      <formula1>"Opening Stock,Purchase-In,Production-In,Production-Out,Sale-Out,Adjustment"</formula1>
    </dataValidation>
    <dataValidation type="list" allowBlank="1" sqref="B2:B200">
      <formula1>'Item Master'!$A$2:$A$99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10" width="16.0"/>
    <col customWidth="1" min="11" max="26" width="8.71"/>
  </cols>
  <sheetData>
    <row r="1" ht="33.75" customHeight="1">
      <c r="A1" s="3" t="s">
        <v>1</v>
      </c>
      <c r="B1" s="3" t="s">
        <v>3</v>
      </c>
      <c r="C1" s="3" t="s">
        <v>5</v>
      </c>
      <c r="D1" s="3" t="s">
        <v>6</v>
      </c>
      <c r="E1" s="3" t="s">
        <v>13</v>
      </c>
      <c r="F1" s="3" t="s">
        <v>19</v>
      </c>
      <c r="G1" s="3" t="s">
        <v>297</v>
      </c>
      <c r="H1" s="3" t="s">
        <v>298</v>
      </c>
      <c r="I1" s="3" t="s">
        <v>299</v>
      </c>
      <c r="J1" s="3" t="s">
        <v>300</v>
      </c>
    </row>
    <row r="2">
      <c r="A2" s="8">
        <f>'Chart of Accounts'!A2</f>
        <v>1000</v>
      </c>
      <c r="B2" s="8" t="str">
        <f>'Chart of Accounts'!B2</f>
        <v>Cash in Hand</v>
      </c>
      <c r="C2" s="8" t="str">
        <f>'Chart of Accounts'!C2</f>
        <v>Asset</v>
      </c>
      <c r="D2" s="8" t="str">
        <f>'Chart of Accounts'!D2</f>
        <v>Shared</v>
      </c>
      <c r="E2" s="8">
        <f>SUMIF('Opening Balances'!$A:$A,A2,'Opening Balances'!$C:$C)</f>
        <v>0</v>
      </c>
      <c r="F2" s="8">
        <f>SUMIF('Opening Balances'!$A:$A,A2,'Opening Balances'!$D:$D)</f>
        <v>0</v>
      </c>
      <c r="G2" s="8">
        <f>SUMIF('Journal Entries'!$D:$D,A2,'Journal Entries'!$G:$G)</f>
        <v>0</v>
      </c>
      <c r="H2" s="8">
        <f>SUMIF('Journal Entries'!$D:$D,A2,'Journal Entries'!$H:$H)</f>
        <v>0</v>
      </c>
      <c r="I2" s="8">
        <f t="shared" ref="I2:I90" si="1">IF((E2-F2+G2-H2)&gt;=0,(E2-F2+G2-H2),0)</f>
        <v>0</v>
      </c>
      <c r="J2" s="8">
        <f t="shared" ref="J2:J90" si="2">IF((E2-F2+G2-H2)&lt;0,-(E2-F2+G2-H2),0)</f>
        <v>0</v>
      </c>
    </row>
    <row r="3">
      <c r="A3" s="8">
        <f>'Chart of Accounts'!A3</f>
        <v>1005</v>
      </c>
      <c r="B3" s="8" t="str">
        <f>'Chart of Accounts'!B3</f>
        <v>Petty Cash</v>
      </c>
      <c r="C3" s="8" t="str">
        <f>'Chart of Accounts'!C3</f>
        <v>Asset</v>
      </c>
      <c r="D3" s="8" t="str">
        <f>'Chart of Accounts'!D3</f>
        <v>Shared</v>
      </c>
      <c r="E3" s="8">
        <f>SUMIF('Opening Balances'!$A:$A,A3,'Opening Balances'!$C:$C)</f>
        <v>0</v>
      </c>
      <c r="F3" s="8">
        <f>SUMIF('Opening Balances'!$A:$A,A3,'Opening Balances'!$D:$D)</f>
        <v>0</v>
      </c>
      <c r="G3" s="8">
        <f>SUMIF('Journal Entries'!$D:$D,A3,'Journal Entries'!$G:$G)</f>
        <v>0</v>
      </c>
      <c r="H3" s="8">
        <f>SUMIF('Journal Entries'!$D:$D,A3,'Journal Entries'!$H:$H)</f>
        <v>0</v>
      </c>
      <c r="I3" s="8">
        <f t="shared" si="1"/>
        <v>0</v>
      </c>
      <c r="J3" s="8">
        <f t="shared" si="2"/>
        <v>0</v>
      </c>
    </row>
    <row r="4">
      <c r="A4" s="8">
        <f>'Chart of Accounts'!A4</f>
        <v>1010</v>
      </c>
      <c r="B4" s="8" t="str">
        <f>'Chart of Accounts'!B4</f>
        <v>Bank Account - Main</v>
      </c>
      <c r="C4" s="8" t="str">
        <f>'Chart of Accounts'!C4</f>
        <v>Asset</v>
      </c>
      <c r="D4" s="8" t="str">
        <f>'Chart of Accounts'!D4</f>
        <v>Shared</v>
      </c>
      <c r="E4" s="8">
        <f>SUMIF('Opening Balances'!$A:$A,A4,'Opening Balances'!$C:$C)</f>
        <v>500000</v>
      </c>
      <c r="F4" s="8">
        <f>SUMIF('Opening Balances'!$A:$A,A4,'Opening Balances'!$D:$D)</f>
        <v>0</v>
      </c>
      <c r="G4" s="8">
        <f>SUMIF('Journal Entries'!$D:$D,A4,'Journal Entries'!$G:$G)</f>
        <v>0</v>
      </c>
      <c r="H4" s="8">
        <f>SUMIF('Journal Entries'!$D:$D,A4,'Journal Entries'!$H:$H)</f>
        <v>3800</v>
      </c>
      <c r="I4" s="8">
        <f t="shared" si="1"/>
        <v>496200</v>
      </c>
      <c r="J4" s="8">
        <f t="shared" si="2"/>
        <v>0</v>
      </c>
    </row>
    <row r="5">
      <c r="A5" s="8">
        <f>'Chart of Accounts'!A5</f>
        <v>1011</v>
      </c>
      <c r="B5" s="8" t="str">
        <f>'Chart of Accounts'!B5</f>
        <v>Bank Account - Secondary</v>
      </c>
      <c r="C5" s="8" t="str">
        <f>'Chart of Accounts'!C5</f>
        <v>Asset</v>
      </c>
      <c r="D5" s="8" t="str">
        <f>'Chart of Accounts'!D5</f>
        <v>Shared</v>
      </c>
      <c r="E5" s="8">
        <f>SUMIF('Opening Balances'!$A:$A,A5,'Opening Balances'!$C:$C)</f>
        <v>0</v>
      </c>
      <c r="F5" s="8">
        <f>SUMIF('Opening Balances'!$A:$A,A5,'Opening Balances'!$D:$D)</f>
        <v>0</v>
      </c>
      <c r="G5" s="8">
        <f>SUMIF('Journal Entries'!$D:$D,A5,'Journal Entries'!$G:$G)</f>
        <v>0</v>
      </c>
      <c r="H5" s="8">
        <f>SUMIF('Journal Entries'!$D:$D,A5,'Journal Entries'!$H:$H)</f>
        <v>0</v>
      </c>
      <c r="I5" s="8">
        <f t="shared" si="1"/>
        <v>0</v>
      </c>
      <c r="J5" s="8">
        <f t="shared" si="2"/>
        <v>0</v>
      </c>
    </row>
    <row r="6">
      <c r="A6" s="8">
        <f>'Chart of Accounts'!A6</f>
        <v>1020</v>
      </c>
      <c r="B6" s="8" t="str">
        <f>'Chart of Accounts'!B6</f>
        <v>L/C Margin Deposit</v>
      </c>
      <c r="C6" s="8" t="str">
        <f>'Chart of Accounts'!C6</f>
        <v>Asset</v>
      </c>
      <c r="D6" s="8" t="str">
        <f>'Chart of Accounts'!D6</f>
        <v>Import</v>
      </c>
      <c r="E6" s="8">
        <f>SUMIF('Opening Balances'!$A:$A,A6,'Opening Balances'!$C:$C)</f>
        <v>0</v>
      </c>
      <c r="F6" s="8">
        <f>SUMIF('Opening Balances'!$A:$A,A6,'Opening Balances'!$D:$D)</f>
        <v>0</v>
      </c>
      <c r="G6" s="8">
        <f>SUMIF('Journal Entries'!$D:$D,A6,'Journal Entries'!$G:$G)</f>
        <v>0</v>
      </c>
      <c r="H6" s="8">
        <f>SUMIF('Journal Entries'!$D:$D,A6,'Journal Entries'!$H:$H)</f>
        <v>0</v>
      </c>
      <c r="I6" s="8">
        <f t="shared" si="1"/>
        <v>0</v>
      </c>
      <c r="J6" s="8">
        <f t="shared" si="2"/>
        <v>0</v>
      </c>
    </row>
    <row r="7">
      <c r="A7" s="8">
        <f>'Chart of Accounts'!A7</f>
        <v>1100</v>
      </c>
      <c r="B7" s="8" t="str">
        <f>'Chart of Accounts'!B7</f>
        <v>Accounts Receivable - Local</v>
      </c>
      <c r="C7" s="8" t="str">
        <f>'Chart of Accounts'!C7</f>
        <v>Asset</v>
      </c>
      <c r="D7" s="8" t="str">
        <f>'Chart of Accounts'!D7</f>
        <v>Shared</v>
      </c>
      <c r="E7" s="8">
        <f>SUMIF('Opening Balances'!$A:$A,A7,'Opening Balances'!$C:$C)</f>
        <v>0</v>
      </c>
      <c r="F7" s="8">
        <f>SUMIF('Opening Balances'!$A:$A,A7,'Opening Balances'!$D:$D)</f>
        <v>0</v>
      </c>
      <c r="G7" s="8">
        <f>SUMIF('Journal Entries'!$D:$D,A7,'Journal Entries'!$G:$G)</f>
        <v>4000</v>
      </c>
      <c r="H7" s="8">
        <f>SUMIF('Journal Entries'!$D:$D,A7,'Journal Entries'!$H:$H)</f>
        <v>0</v>
      </c>
      <c r="I7" s="8">
        <f t="shared" si="1"/>
        <v>4000</v>
      </c>
      <c r="J7" s="8">
        <f t="shared" si="2"/>
        <v>0</v>
      </c>
    </row>
    <row r="8">
      <c r="A8" s="8">
        <f>'Chart of Accounts'!A8</f>
        <v>1101</v>
      </c>
      <c r="B8" s="8" t="str">
        <f>'Chart of Accounts'!B8</f>
        <v>Accounts Receivable - Export</v>
      </c>
      <c r="C8" s="8" t="str">
        <f>'Chart of Accounts'!C8</f>
        <v>Asset</v>
      </c>
      <c r="D8" s="8" t="str">
        <f>'Chart of Accounts'!D8</f>
        <v>Shared</v>
      </c>
      <c r="E8" s="8">
        <f>SUMIF('Opening Balances'!$A:$A,A8,'Opening Balances'!$C:$C)</f>
        <v>0</v>
      </c>
      <c r="F8" s="8">
        <f>SUMIF('Opening Balances'!$A:$A,A8,'Opening Balances'!$D:$D)</f>
        <v>0</v>
      </c>
      <c r="G8" s="8">
        <f>SUMIF('Journal Entries'!$D:$D,A8,'Journal Entries'!$G:$G)</f>
        <v>0</v>
      </c>
      <c r="H8" s="8">
        <f>SUMIF('Journal Entries'!$D:$D,A8,'Journal Entries'!$H:$H)</f>
        <v>0</v>
      </c>
      <c r="I8" s="8">
        <f t="shared" si="1"/>
        <v>0</v>
      </c>
      <c r="J8" s="8">
        <f t="shared" si="2"/>
        <v>0</v>
      </c>
    </row>
    <row r="9">
      <c r="A9" s="8">
        <f>'Chart of Accounts'!A9</f>
        <v>1110</v>
      </c>
      <c r="B9" s="8" t="str">
        <f>'Chart of Accounts'!B9</f>
        <v>Advance to Suppliers</v>
      </c>
      <c r="C9" s="8" t="str">
        <f>'Chart of Accounts'!C9</f>
        <v>Asset</v>
      </c>
      <c r="D9" s="8" t="str">
        <f>'Chart of Accounts'!D9</f>
        <v>Shared</v>
      </c>
      <c r="E9" s="8">
        <f>SUMIF('Opening Balances'!$A:$A,A9,'Opening Balances'!$C:$C)</f>
        <v>0</v>
      </c>
      <c r="F9" s="8">
        <f>SUMIF('Opening Balances'!$A:$A,A9,'Opening Balances'!$D:$D)</f>
        <v>0</v>
      </c>
      <c r="G9" s="8">
        <f>SUMIF('Journal Entries'!$D:$D,A9,'Journal Entries'!$G:$G)</f>
        <v>0</v>
      </c>
      <c r="H9" s="8">
        <f>SUMIF('Journal Entries'!$D:$D,A9,'Journal Entries'!$H:$H)</f>
        <v>0</v>
      </c>
      <c r="I9" s="8">
        <f t="shared" si="1"/>
        <v>0</v>
      </c>
      <c r="J9" s="8">
        <f t="shared" si="2"/>
        <v>0</v>
      </c>
    </row>
    <row r="10">
      <c r="A10" s="8">
        <f>'Chart of Accounts'!A10</f>
        <v>1120</v>
      </c>
      <c r="B10" s="8" t="str">
        <f>'Chart of Accounts'!B10</f>
        <v>Advance Income Tax (AIT)</v>
      </c>
      <c r="C10" s="8" t="str">
        <f>'Chart of Accounts'!C10</f>
        <v>Asset</v>
      </c>
      <c r="D10" s="8" t="str">
        <f>'Chart of Accounts'!D10</f>
        <v>Shared</v>
      </c>
      <c r="E10" s="8">
        <f>SUMIF('Opening Balances'!$A:$A,A10,'Opening Balances'!$C:$C)</f>
        <v>0</v>
      </c>
      <c r="F10" s="8">
        <f>SUMIF('Opening Balances'!$A:$A,A10,'Opening Balances'!$D:$D)</f>
        <v>0</v>
      </c>
      <c r="G10" s="8">
        <f>SUMIF('Journal Entries'!$D:$D,A10,'Journal Entries'!$G:$G)</f>
        <v>0</v>
      </c>
      <c r="H10" s="8">
        <f>SUMIF('Journal Entries'!$D:$D,A10,'Journal Entries'!$H:$H)</f>
        <v>0</v>
      </c>
      <c r="I10" s="8">
        <f t="shared" si="1"/>
        <v>0</v>
      </c>
      <c r="J10" s="8">
        <f t="shared" si="2"/>
        <v>0</v>
      </c>
    </row>
    <row r="11">
      <c r="A11" s="8">
        <f>'Chart of Accounts'!A11</f>
        <v>1130</v>
      </c>
      <c r="B11" s="8" t="str">
        <f>'Chart of Accounts'!B11</f>
        <v>VAT Current Account (Input VAT)</v>
      </c>
      <c r="C11" s="8" t="str">
        <f>'Chart of Accounts'!C11</f>
        <v>Asset</v>
      </c>
      <c r="D11" s="8" t="str">
        <f>'Chart of Accounts'!D11</f>
        <v>Shared</v>
      </c>
      <c r="E11" s="8">
        <f>SUMIF('Opening Balances'!$A:$A,A11,'Opening Balances'!$C:$C)</f>
        <v>0</v>
      </c>
      <c r="F11" s="8">
        <f>SUMIF('Opening Balances'!$A:$A,A11,'Opening Balances'!$D:$D)</f>
        <v>0</v>
      </c>
      <c r="G11" s="8">
        <f>SUMIF('Journal Entries'!$D:$D,A11,'Journal Entries'!$G:$G)</f>
        <v>0</v>
      </c>
      <c r="H11" s="8">
        <f>SUMIF('Journal Entries'!$D:$D,A11,'Journal Entries'!$H:$H)</f>
        <v>0</v>
      </c>
      <c r="I11" s="8">
        <f t="shared" si="1"/>
        <v>0</v>
      </c>
      <c r="J11" s="8">
        <f t="shared" si="2"/>
        <v>0</v>
      </c>
    </row>
    <row r="12">
      <c r="A12" s="8">
        <f>'Chart of Accounts'!A12</f>
        <v>1140</v>
      </c>
      <c r="B12" s="8" t="str">
        <f>'Chart of Accounts'!B12</f>
        <v>Advance to Employees</v>
      </c>
      <c r="C12" s="8" t="str">
        <f>'Chart of Accounts'!C12</f>
        <v>Asset</v>
      </c>
      <c r="D12" s="8" t="str">
        <f>'Chart of Accounts'!D12</f>
        <v>Shared</v>
      </c>
      <c r="E12" s="8">
        <f>SUMIF('Opening Balances'!$A:$A,A12,'Opening Balances'!$C:$C)</f>
        <v>0</v>
      </c>
      <c r="F12" s="8">
        <f>SUMIF('Opening Balances'!$A:$A,A12,'Opening Balances'!$D:$D)</f>
        <v>0</v>
      </c>
      <c r="G12" s="8">
        <f>SUMIF('Journal Entries'!$D:$D,A12,'Journal Entries'!$G:$G)</f>
        <v>0</v>
      </c>
      <c r="H12" s="8">
        <f>SUMIF('Journal Entries'!$D:$D,A12,'Journal Entries'!$H:$H)</f>
        <v>0</v>
      </c>
      <c r="I12" s="8">
        <f t="shared" si="1"/>
        <v>0</v>
      </c>
      <c r="J12" s="8">
        <f t="shared" si="2"/>
        <v>0</v>
      </c>
    </row>
    <row r="13">
      <c r="A13" s="8">
        <f>'Chart of Accounts'!A13</f>
        <v>1150</v>
      </c>
      <c r="B13" s="8" t="str">
        <f>'Chart of Accounts'!B13</f>
        <v>Prepaid Expenses</v>
      </c>
      <c r="C13" s="8" t="str">
        <f>'Chart of Accounts'!C13</f>
        <v>Asset</v>
      </c>
      <c r="D13" s="8" t="str">
        <f>'Chart of Accounts'!D13</f>
        <v>Shared</v>
      </c>
      <c r="E13" s="8">
        <f>SUMIF('Opening Balances'!$A:$A,A13,'Opening Balances'!$C:$C)</f>
        <v>0</v>
      </c>
      <c r="F13" s="8">
        <f>SUMIF('Opening Balances'!$A:$A,A13,'Opening Balances'!$D:$D)</f>
        <v>0</v>
      </c>
      <c r="G13" s="8">
        <f>SUMIF('Journal Entries'!$D:$D,A13,'Journal Entries'!$G:$G)</f>
        <v>0</v>
      </c>
      <c r="H13" s="8">
        <f>SUMIF('Journal Entries'!$D:$D,A13,'Journal Entries'!$H:$H)</f>
        <v>0</v>
      </c>
      <c r="I13" s="8">
        <f t="shared" si="1"/>
        <v>0</v>
      </c>
      <c r="J13" s="8">
        <f t="shared" si="2"/>
        <v>0</v>
      </c>
    </row>
    <row r="14">
      <c r="A14" s="8">
        <f>'Chart of Accounts'!A14</f>
        <v>1200</v>
      </c>
      <c r="B14" s="8" t="str">
        <f>'Chart of Accounts'!B14</f>
        <v>Inventory - Imported Goods</v>
      </c>
      <c r="C14" s="8" t="str">
        <f>'Chart of Accounts'!C14</f>
        <v>Asset</v>
      </c>
      <c r="D14" s="8" t="str">
        <f>'Chart of Accounts'!D14</f>
        <v>Import</v>
      </c>
      <c r="E14" s="8">
        <f>SUMIF('Opening Balances'!$A:$A,A14,'Opening Balances'!$C:$C)</f>
        <v>100000</v>
      </c>
      <c r="F14" s="8">
        <f>SUMIF('Opening Balances'!$A:$A,A14,'Opening Balances'!$D:$D)</f>
        <v>0</v>
      </c>
      <c r="G14" s="8">
        <f>SUMIF('Journal Entries'!$D:$D,A14,'Journal Entries'!$G:$G)</f>
        <v>0</v>
      </c>
      <c r="H14" s="8">
        <f>SUMIF('Journal Entries'!$D:$D,A14,'Journal Entries'!$H:$H)</f>
        <v>0</v>
      </c>
      <c r="I14" s="8">
        <f t="shared" si="1"/>
        <v>100000</v>
      </c>
      <c r="J14" s="8">
        <f t="shared" si="2"/>
        <v>0</v>
      </c>
    </row>
    <row r="15">
      <c r="A15" s="8">
        <f>'Chart of Accounts'!A15</f>
        <v>1210</v>
      </c>
      <c r="B15" s="8" t="str">
        <f>'Chart of Accounts'!B15</f>
        <v>Inventory - Raw Materials</v>
      </c>
      <c r="C15" s="8" t="str">
        <f>'Chart of Accounts'!C15</f>
        <v>Asset</v>
      </c>
      <c r="D15" s="8" t="str">
        <f>'Chart of Accounts'!D15</f>
        <v>Manufacturing</v>
      </c>
      <c r="E15" s="8">
        <f>SUMIF('Opening Balances'!$A:$A,A15,'Opening Balances'!$C:$C)</f>
        <v>90000</v>
      </c>
      <c r="F15" s="8">
        <f>SUMIF('Opening Balances'!$A:$A,A15,'Opening Balances'!$D:$D)</f>
        <v>0</v>
      </c>
      <c r="G15" s="8">
        <f>SUMIF('Journal Entries'!$D:$D,A15,'Journal Entries'!$G:$G)</f>
        <v>0</v>
      </c>
      <c r="H15" s="8">
        <f>SUMIF('Journal Entries'!$D:$D,A15,'Journal Entries'!$H:$H)</f>
        <v>12000</v>
      </c>
      <c r="I15" s="8">
        <f t="shared" si="1"/>
        <v>78000</v>
      </c>
      <c r="J15" s="8">
        <f t="shared" si="2"/>
        <v>0</v>
      </c>
    </row>
    <row r="16">
      <c r="A16" s="8">
        <f>'Chart of Accounts'!A16</f>
        <v>1220</v>
      </c>
      <c r="B16" s="8" t="str">
        <f>'Chart of Accounts'!B16</f>
        <v>Inventory - WIP</v>
      </c>
      <c r="C16" s="8" t="str">
        <f>'Chart of Accounts'!C16</f>
        <v>Asset</v>
      </c>
      <c r="D16" s="8" t="str">
        <f>'Chart of Accounts'!D16</f>
        <v>Manufacturing</v>
      </c>
      <c r="E16" s="8">
        <f>SUMIF('Opening Balances'!$A:$A,A16,'Opening Balances'!$C:$C)</f>
        <v>0</v>
      </c>
      <c r="F16" s="8">
        <f>SUMIF('Opening Balances'!$A:$A,A16,'Opening Balances'!$D:$D)</f>
        <v>0</v>
      </c>
      <c r="G16" s="8">
        <f>SUMIF('Journal Entries'!$D:$D,A16,'Journal Entries'!$G:$G)</f>
        <v>15000</v>
      </c>
      <c r="H16" s="8">
        <f>SUMIF('Journal Entries'!$D:$D,A16,'Journal Entries'!$H:$H)</f>
        <v>3600</v>
      </c>
      <c r="I16" s="8">
        <f t="shared" si="1"/>
        <v>11400</v>
      </c>
      <c r="J16" s="8">
        <f t="shared" si="2"/>
        <v>0</v>
      </c>
    </row>
    <row r="17">
      <c r="A17" s="8">
        <f>'Chart of Accounts'!A17</f>
        <v>1230</v>
      </c>
      <c r="B17" s="8" t="str">
        <f>'Chart of Accounts'!B17</f>
        <v>Inventory - Finished Goods</v>
      </c>
      <c r="C17" s="8" t="str">
        <f>'Chart of Accounts'!C17</f>
        <v>Asset</v>
      </c>
      <c r="D17" s="8" t="str">
        <f>'Chart of Accounts'!D17</f>
        <v>Manufacturing</v>
      </c>
      <c r="E17" s="8">
        <f>SUMIF('Opening Balances'!$A:$A,A17,'Opening Balances'!$C:$C)</f>
        <v>0</v>
      </c>
      <c r="F17" s="8">
        <f>SUMIF('Opening Balances'!$A:$A,A17,'Opening Balances'!$D:$D)</f>
        <v>0</v>
      </c>
      <c r="G17" s="8">
        <f>SUMIF('Journal Entries'!$D:$D,A17,'Journal Entries'!$G:$G)</f>
        <v>4800</v>
      </c>
      <c r="H17" s="8">
        <f>SUMIF('Journal Entries'!$D:$D,A17,'Journal Entries'!$H:$H)</f>
        <v>2400</v>
      </c>
      <c r="I17" s="8">
        <f t="shared" si="1"/>
        <v>2400</v>
      </c>
      <c r="J17" s="8">
        <f t="shared" si="2"/>
        <v>0</v>
      </c>
    </row>
    <row r="18">
      <c r="A18" s="8">
        <f>'Chart of Accounts'!A18</f>
        <v>1240</v>
      </c>
      <c r="B18" s="8" t="str">
        <f>'Chart of Accounts'!B18</f>
        <v>Inventory - Packaging Materials</v>
      </c>
      <c r="C18" s="8" t="str">
        <f>'Chart of Accounts'!C18</f>
        <v>Asset</v>
      </c>
      <c r="D18" s="8" t="str">
        <f>'Chart of Accounts'!D18</f>
        <v>Packaging</v>
      </c>
      <c r="E18" s="8">
        <f>SUMIF('Opening Balances'!$A:$A,A18,'Opening Balances'!$C:$C)</f>
        <v>20000</v>
      </c>
      <c r="F18" s="8">
        <f>SUMIF('Opening Balances'!$A:$A,A18,'Opening Balances'!$D:$D)</f>
        <v>0</v>
      </c>
      <c r="G18" s="8">
        <f>SUMIF('Journal Entries'!$D:$D,A18,'Journal Entries'!$G:$G)</f>
        <v>0</v>
      </c>
      <c r="H18" s="8">
        <f>SUMIF('Journal Entries'!$D:$D,A18,'Journal Entries'!$H:$H)</f>
        <v>400</v>
      </c>
      <c r="I18" s="8">
        <f t="shared" si="1"/>
        <v>19600</v>
      </c>
      <c r="J18" s="8">
        <f t="shared" si="2"/>
        <v>0</v>
      </c>
    </row>
    <row r="19">
      <c r="A19" s="8">
        <f>'Chart of Accounts'!A19</f>
        <v>1250</v>
      </c>
      <c r="B19" s="8" t="str">
        <f>'Chart of Accounts'!B19</f>
        <v>Inventory - Trading Stock</v>
      </c>
      <c r="C19" s="8" t="str">
        <f>'Chart of Accounts'!C19</f>
        <v>Asset</v>
      </c>
      <c r="D19" s="8" t="str">
        <f>'Chart of Accounts'!D19</f>
        <v>Trading</v>
      </c>
      <c r="E19" s="8">
        <f>SUMIF('Opening Balances'!$A:$A,A19,'Opening Balances'!$C:$C)</f>
        <v>90000</v>
      </c>
      <c r="F19" s="8">
        <f>SUMIF('Opening Balances'!$A:$A,A19,'Opening Balances'!$D:$D)</f>
        <v>0</v>
      </c>
      <c r="G19" s="8">
        <f>SUMIF('Journal Entries'!$D:$D,A19,'Journal Entries'!$G:$G)</f>
        <v>0</v>
      </c>
      <c r="H19" s="8">
        <f>SUMIF('Journal Entries'!$D:$D,A19,'Journal Entries'!$H:$H)</f>
        <v>0</v>
      </c>
      <c r="I19" s="8">
        <f t="shared" si="1"/>
        <v>90000</v>
      </c>
      <c r="J19" s="8">
        <f t="shared" si="2"/>
        <v>0</v>
      </c>
    </row>
    <row r="20">
      <c r="A20" s="8">
        <f>'Chart of Accounts'!A20</f>
        <v>1260</v>
      </c>
      <c r="B20" s="8" t="str">
        <f>'Chart of Accounts'!B20</f>
        <v>Goods in Transit</v>
      </c>
      <c r="C20" s="8" t="str">
        <f>'Chart of Accounts'!C20</f>
        <v>Asset</v>
      </c>
      <c r="D20" s="8" t="str">
        <f>'Chart of Accounts'!D20</f>
        <v>Import</v>
      </c>
      <c r="E20" s="8">
        <f>SUMIF('Opening Balances'!$A:$A,A20,'Opening Balances'!$C:$C)</f>
        <v>0</v>
      </c>
      <c r="F20" s="8">
        <f>SUMIF('Opening Balances'!$A:$A,A20,'Opening Balances'!$D:$D)</f>
        <v>0</v>
      </c>
      <c r="G20" s="8">
        <f>SUMIF('Journal Entries'!$D:$D,A20,'Journal Entries'!$G:$G)</f>
        <v>0</v>
      </c>
      <c r="H20" s="8">
        <f>SUMIF('Journal Entries'!$D:$D,A20,'Journal Entries'!$H:$H)</f>
        <v>0</v>
      </c>
      <c r="I20" s="8">
        <f t="shared" si="1"/>
        <v>0</v>
      </c>
      <c r="J20" s="8">
        <f t="shared" si="2"/>
        <v>0</v>
      </c>
    </row>
    <row r="21" ht="15.75" customHeight="1">
      <c r="A21" s="8">
        <f>'Chart of Accounts'!A21</f>
        <v>1300</v>
      </c>
      <c r="B21" s="8" t="str">
        <f>'Chart of Accounts'!B21</f>
        <v>Land &amp; Building</v>
      </c>
      <c r="C21" s="8" t="str">
        <f>'Chart of Accounts'!C21</f>
        <v>Asset</v>
      </c>
      <c r="D21" s="8" t="str">
        <f>'Chart of Accounts'!D21</f>
        <v>Shared</v>
      </c>
      <c r="E21" s="8">
        <f>SUMIF('Opening Balances'!$A:$A,A21,'Opening Balances'!$C:$C)</f>
        <v>0</v>
      </c>
      <c r="F21" s="8">
        <f>SUMIF('Opening Balances'!$A:$A,A21,'Opening Balances'!$D:$D)</f>
        <v>0</v>
      </c>
      <c r="G21" s="8">
        <f>SUMIF('Journal Entries'!$D:$D,A21,'Journal Entries'!$G:$G)</f>
        <v>0</v>
      </c>
      <c r="H21" s="8">
        <f>SUMIF('Journal Entries'!$D:$D,A21,'Journal Entries'!$H:$H)</f>
        <v>0</v>
      </c>
      <c r="I21" s="8">
        <f t="shared" si="1"/>
        <v>0</v>
      </c>
      <c r="J21" s="8">
        <f t="shared" si="2"/>
        <v>0</v>
      </c>
    </row>
    <row r="22" ht="15.75" customHeight="1">
      <c r="A22" s="8">
        <f>'Chart of Accounts'!A22</f>
        <v>1310</v>
      </c>
      <c r="B22" s="8" t="str">
        <f>'Chart of Accounts'!B22</f>
        <v>Accumulated Depreciation - Building</v>
      </c>
      <c r="C22" s="8" t="str">
        <f>'Chart of Accounts'!C22</f>
        <v>Asset</v>
      </c>
      <c r="D22" s="8" t="str">
        <f>'Chart of Accounts'!D22</f>
        <v>Shared</v>
      </c>
      <c r="E22" s="8">
        <f>SUMIF('Opening Balances'!$A:$A,A22,'Opening Balances'!$C:$C)</f>
        <v>0</v>
      </c>
      <c r="F22" s="8">
        <f>SUMIF('Opening Balances'!$A:$A,A22,'Opening Balances'!$D:$D)</f>
        <v>0</v>
      </c>
      <c r="G22" s="8">
        <f>SUMIF('Journal Entries'!$D:$D,A22,'Journal Entries'!$G:$G)</f>
        <v>0</v>
      </c>
      <c r="H22" s="8">
        <f>SUMIF('Journal Entries'!$D:$D,A22,'Journal Entries'!$H:$H)</f>
        <v>0</v>
      </c>
      <c r="I22" s="8">
        <f t="shared" si="1"/>
        <v>0</v>
      </c>
      <c r="J22" s="8">
        <f t="shared" si="2"/>
        <v>0</v>
      </c>
    </row>
    <row r="23" ht="15.75" customHeight="1">
      <c r="A23" s="8">
        <f>'Chart of Accounts'!A23</f>
        <v>1320</v>
      </c>
      <c r="B23" s="8" t="str">
        <f>'Chart of Accounts'!B23</f>
        <v>Plant &amp; Machinery</v>
      </c>
      <c r="C23" s="8" t="str">
        <f>'Chart of Accounts'!C23</f>
        <v>Asset</v>
      </c>
      <c r="D23" s="8" t="str">
        <f>'Chart of Accounts'!D23</f>
        <v>Shared</v>
      </c>
      <c r="E23" s="8">
        <f>SUMIF('Opening Balances'!$A:$A,A23,'Opening Balances'!$C:$C)</f>
        <v>0</v>
      </c>
      <c r="F23" s="8">
        <f>SUMIF('Opening Balances'!$A:$A,A23,'Opening Balances'!$D:$D)</f>
        <v>0</v>
      </c>
      <c r="G23" s="8">
        <f>SUMIF('Journal Entries'!$D:$D,A23,'Journal Entries'!$G:$G)</f>
        <v>0</v>
      </c>
      <c r="H23" s="8">
        <f>SUMIF('Journal Entries'!$D:$D,A23,'Journal Entries'!$H:$H)</f>
        <v>0</v>
      </c>
      <c r="I23" s="8">
        <f t="shared" si="1"/>
        <v>0</v>
      </c>
      <c r="J23" s="8">
        <f t="shared" si="2"/>
        <v>0</v>
      </c>
    </row>
    <row r="24" ht="15.75" customHeight="1">
      <c r="A24" s="8">
        <f>'Chart of Accounts'!A24</f>
        <v>1321</v>
      </c>
      <c r="B24" s="8" t="str">
        <f>'Chart of Accounts'!B24</f>
        <v>Accumulated Depreciation - Plant &amp; Machinery</v>
      </c>
      <c r="C24" s="8" t="str">
        <f>'Chart of Accounts'!C24</f>
        <v>Asset</v>
      </c>
      <c r="D24" s="8" t="str">
        <f>'Chart of Accounts'!D24</f>
        <v>Shared</v>
      </c>
      <c r="E24" s="8">
        <f>SUMIF('Opening Balances'!$A:$A,A24,'Opening Balances'!$C:$C)</f>
        <v>0</v>
      </c>
      <c r="F24" s="8">
        <f>SUMIF('Opening Balances'!$A:$A,A24,'Opening Balances'!$D:$D)</f>
        <v>0</v>
      </c>
      <c r="G24" s="8">
        <f>SUMIF('Journal Entries'!$D:$D,A24,'Journal Entries'!$G:$G)</f>
        <v>0</v>
      </c>
      <c r="H24" s="8">
        <f>SUMIF('Journal Entries'!$D:$D,A24,'Journal Entries'!$H:$H)</f>
        <v>0</v>
      </c>
      <c r="I24" s="8">
        <f t="shared" si="1"/>
        <v>0</v>
      </c>
      <c r="J24" s="8">
        <f t="shared" si="2"/>
        <v>0</v>
      </c>
    </row>
    <row r="25" ht="15.75" customHeight="1">
      <c r="A25" s="8">
        <f>'Chart of Accounts'!A25</f>
        <v>1330</v>
      </c>
      <c r="B25" s="8" t="str">
        <f>'Chart of Accounts'!B25</f>
        <v>Office Equipment</v>
      </c>
      <c r="C25" s="8" t="str">
        <f>'Chart of Accounts'!C25</f>
        <v>Asset</v>
      </c>
      <c r="D25" s="8" t="str">
        <f>'Chart of Accounts'!D25</f>
        <v>Shared</v>
      </c>
      <c r="E25" s="8">
        <f>SUMIF('Opening Balances'!$A:$A,A25,'Opening Balances'!$C:$C)</f>
        <v>0</v>
      </c>
      <c r="F25" s="8">
        <f>SUMIF('Opening Balances'!$A:$A,A25,'Opening Balances'!$D:$D)</f>
        <v>0</v>
      </c>
      <c r="G25" s="8">
        <f>SUMIF('Journal Entries'!$D:$D,A25,'Journal Entries'!$G:$G)</f>
        <v>0</v>
      </c>
      <c r="H25" s="8">
        <f>SUMIF('Journal Entries'!$D:$D,A25,'Journal Entries'!$H:$H)</f>
        <v>0</v>
      </c>
      <c r="I25" s="8">
        <f t="shared" si="1"/>
        <v>0</v>
      </c>
      <c r="J25" s="8">
        <f t="shared" si="2"/>
        <v>0</v>
      </c>
    </row>
    <row r="26" ht="15.75" customHeight="1">
      <c r="A26" s="8">
        <f>'Chart of Accounts'!A26</f>
        <v>1331</v>
      </c>
      <c r="B26" s="8" t="str">
        <f>'Chart of Accounts'!B26</f>
        <v>Accumulated Depreciation - Office Equipment</v>
      </c>
      <c r="C26" s="8" t="str">
        <f>'Chart of Accounts'!C26</f>
        <v>Asset</v>
      </c>
      <c r="D26" s="8" t="str">
        <f>'Chart of Accounts'!D26</f>
        <v>Shared</v>
      </c>
      <c r="E26" s="8">
        <f>SUMIF('Opening Balances'!$A:$A,A26,'Opening Balances'!$C:$C)</f>
        <v>0</v>
      </c>
      <c r="F26" s="8">
        <f>SUMIF('Opening Balances'!$A:$A,A26,'Opening Balances'!$D:$D)</f>
        <v>0</v>
      </c>
      <c r="G26" s="8">
        <f>SUMIF('Journal Entries'!$D:$D,A26,'Journal Entries'!$G:$G)</f>
        <v>0</v>
      </c>
      <c r="H26" s="8">
        <f>SUMIF('Journal Entries'!$D:$D,A26,'Journal Entries'!$H:$H)</f>
        <v>0</v>
      </c>
      <c r="I26" s="8">
        <f t="shared" si="1"/>
        <v>0</v>
      </c>
      <c r="J26" s="8">
        <f t="shared" si="2"/>
        <v>0</v>
      </c>
    </row>
    <row r="27" ht="15.75" customHeight="1">
      <c r="A27" s="8">
        <f>'Chart of Accounts'!A27</f>
        <v>1340</v>
      </c>
      <c r="B27" s="8" t="str">
        <f>'Chart of Accounts'!B27</f>
        <v>Furniture &amp; Fixtures</v>
      </c>
      <c r="C27" s="8" t="str">
        <f>'Chart of Accounts'!C27</f>
        <v>Asset</v>
      </c>
      <c r="D27" s="8" t="str">
        <f>'Chart of Accounts'!D27</f>
        <v>Shared</v>
      </c>
      <c r="E27" s="8">
        <f>SUMIF('Opening Balances'!$A:$A,A27,'Opening Balances'!$C:$C)</f>
        <v>0</v>
      </c>
      <c r="F27" s="8">
        <f>SUMIF('Opening Balances'!$A:$A,A27,'Opening Balances'!$D:$D)</f>
        <v>0</v>
      </c>
      <c r="G27" s="8">
        <f>SUMIF('Journal Entries'!$D:$D,A27,'Journal Entries'!$G:$G)</f>
        <v>0</v>
      </c>
      <c r="H27" s="8">
        <f>SUMIF('Journal Entries'!$D:$D,A27,'Journal Entries'!$H:$H)</f>
        <v>0</v>
      </c>
      <c r="I27" s="8">
        <f t="shared" si="1"/>
        <v>0</v>
      </c>
      <c r="J27" s="8">
        <f t="shared" si="2"/>
        <v>0</v>
      </c>
    </row>
    <row r="28" ht="15.75" customHeight="1">
      <c r="A28" s="8">
        <f>'Chart of Accounts'!A28</f>
        <v>1341</v>
      </c>
      <c r="B28" s="8" t="str">
        <f>'Chart of Accounts'!B28</f>
        <v>Accumulated Depreciation - Furniture &amp; Fixtures</v>
      </c>
      <c r="C28" s="8" t="str">
        <f>'Chart of Accounts'!C28</f>
        <v>Asset</v>
      </c>
      <c r="D28" s="8" t="str">
        <f>'Chart of Accounts'!D28</f>
        <v>Shared</v>
      </c>
      <c r="E28" s="8">
        <f>SUMIF('Opening Balances'!$A:$A,A28,'Opening Balances'!$C:$C)</f>
        <v>0</v>
      </c>
      <c r="F28" s="8">
        <f>SUMIF('Opening Balances'!$A:$A,A28,'Opening Balances'!$D:$D)</f>
        <v>0</v>
      </c>
      <c r="G28" s="8">
        <f>SUMIF('Journal Entries'!$D:$D,A28,'Journal Entries'!$G:$G)</f>
        <v>0</v>
      </c>
      <c r="H28" s="8">
        <f>SUMIF('Journal Entries'!$D:$D,A28,'Journal Entries'!$H:$H)</f>
        <v>0</v>
      </c>
      <c r="I28" s="8">
        <f t="shared" si="1"/>
        <v>0</v>
      </c>
      <c r="J28" s="8">
        <f t="shared" si="2"/>
        <v>0</v>
      </c>
    </row>
    <row r="29" ht="15.75" customHeight="1">
      <c r="A29" s="8">
        <f>'Chart of Accounts'!A29</f>
        <v>1350</v>
      </c>
      <c r="B29" s="8" t="str">
        <f>'Chart of Accounts'!B29</f>
        <v>Vehicles</v>
      </c>
      <c r="C29" s="8" t="str">
        <f>'Chart of Accounts'!C29</f>
        <v>Asset</v>
      </c>
      <c r="D29" s="8" t="str">
        <f>'Chart of Accounts'!D29</f>
        <v>Shared</v>
      </c>
      <c r="E29" s="8">
        <f>SUMIF('Opening Balances'!$A:$A,A29,'Opening Balances'!$C:$C)</f>
        <v>0</v>
      </c>
      <c r="F29" s="8">
        <f>SUMIF('Opening Balances'!$A:$A,A29,'Opening Balances'!$D:$D)</f>
        <v>0</v>
      </c>
      <c r="G29" s="8">
        <f>SUMIF('Journal Entries'!$D:$D,A29,'Journal Entries'!$G:$G)</f>
        <v>0</v>
      </c>
      <c r="H29" s="8">
        <f>SUMIF('Journal Entries'!$D:$D,A29,'Journal Entries'!$H:$H)</f>
        <v>0</v>
      </c>
      <c r="I29" s="8">
        <f t="shared" si="1"/>
        <v>0</v>
      </c>
      <c r="J29" s="8">
        <f t="shared" si="2"/>
        <v>0</v>
      </c>
    </row>
    <row r="30" ht="15.75" customHeight="1">
      <c r="A30" s="8">
        <f>'Chart of Accounts'!A30</f>
        <v>1351</v>
      </c>
      <c r="B30" s="8" t="str">
        <f>'Chart of Accounts'!B30</f>
        <v>Accumulated Depreciation - Vehicles</v>
      </c>
      <c r="C30" s="8" t="str">
        <f>'Chart of Accounts'!C30</f>
        <v>Asset</v>
      </c>
      <c r="D30" s="8" t="str">
        <f>'Chart of Accounts'!D30</f>
        <v>Shared</v>
      </c>
      <c r="E30" s="8">
        <f>SUMIF('Opening Balances'!$A:$A,A30,'Opening Balances'!$C:$C)</f>
        <v>0</v>
      </c>
      <c r="F30" s="8">
        <f>SUMIF('Opening Balances'!$A:$A,A30,'Opening Balances'!$D:$D)</f>
        <v>0</v>
      </c>
      <c r="G30" s="8">
        <f>SUMIF('Journal Entries'!$D:$D,A30,'Journal Entries'!$G:$G)</f>
        <v>0</v>
      </c>
      <c r="H30" s="8">
        <f>SUMIF('Journal Entries'!$D:$D,A30,'Journal Entries'!$H:$H)</f>
        <v>0</v>
      </c>
      <c r="I30" s="8">
        <f t="shared" si="1"/>
        <v>0</v>
      </c>
      <c r="J30" s="8">
        <f t="shared" si="2"/>
        <v>0</v>
      </c>
    </row>
    <row r="31" ht="15.75" customHeight="1">
      <c r="A31" s="8">
        <f>'Chart of Accounts'!A31</f>
        <v>1360</v>
      </c>
      <c r="B31" s="8" t="str">
        <f>'Chart of Accounts'!B31</f>
        <v>Computer &amp; IT Equipment</v>
      </c>
      <c r="C31" s="8" t="str">
        <f>'Chart of Accounts'!C31</f>
        <v>Asset</v>
      </c>
      <c r="D31" s="8" t="str">
        <f>'Chart of Accounts'!D31</f>
        <v>Shared</v>
      </c>
      <c r="E31" s="8">
        <f>SUMIF('Opening Balances'!$A:$A,A31,'Opening Balances'!$C:$C)</f>
        <v>0</v>
      </c>
      <c r="F31" s="8">
        <f>SUMIF('Opening Balances'!$A:$A,A31,'Opening Balances'!$D:$D)</f>
        <v>0</v>
      </c>
      <c r="G31" s="8">
        <f>SUMIF('Journal Entries'!$D:$D,A31,'Journal Entries'!$G:$G)</f>
        <v>0</v>
      </c>
      <c r="H31" s="8">
        <f>SUMIF('Journal Entries'!$D:$D,A31,'Journal Entries'!$H:$H)</f>
        <v>0</v>
      </c>
      <c r="I31" s="8">
        <f t="shared" si="1"/>
        <v>0</v>
      </c>
      <c r="J31" s="8">
        <f t="shared" si="2"/>
        <v>0</v>
      </c>
    </row>
    <row r="32" ht="15.75" customHeight="1">
      <c r="A32" s="8">
        <f>'Chart of Accounts'!A32</f>
        <v>1361</v>
      </c>
      <c r="B32" s="8" t="str">
        <f>'Chart of Accounts'!B32</f>
        <v>Accumulated Depreciation - Computer &amp; IT Equipment</v>
      </c>
      <c r="C32" s="8" t="str">
        <f>'Chart of Accounts'!C32</f>
        <v>Asset</v>
      </c>
      <c r="D32" s="8" t="str">
        <f>'Chart of Accounts'!D32</f>
        <v>Shared</v>
      </c>
      <c r="E32" s="8">
        <f>SUMIF('Opening Balances'!$A:$A,A32,'Opening Balances'!$C:$C)</f>
        <v>0</v>
      </c>
      <c r="F32" s="8">
        <f>SUMIF('Opening Balances'!$A:$A,A32,'Opening Balances'!$D:$D)</f>
        <v>0</v>
      </c>
      <c r="G32" s="8">
        <f>SUMIF('Journal Entries'!$D:$D,A32,'Journal Entries'!$G:$G)</f>
        <v>0</v>
      </c>
      <c r="H32" s="8">
        <f>SUMIF('Journal Entries'!$D:$D,A32,'Journal Entries'!$H:$H)</f>
        <v>0</v>
      </c>
      <c r="I32" s="8">
        <f t="shared" si="1"/>
        <v>0</v>
      </c>
      <c r="J32" s="8">
        <f t="shared" si="2"/>
        <v>0</v>
      </c>
    </row>
    <row r="33" ht="15.75" customHeight="1">
      <c r="A33" s="8">
        <f>'Chart of Accounts'!A33</f>
        <v>2000</v>
      </c>
      <c r="B33" s="8" t="str">
        <f>'Chart of Accounts'!B33</f>
        <v>Accounts Payable - Import Suppliers</v>
      </c>
      <c r="C33" s="8" t="str">
        <f>'Chart of Accounts'!C33</f>
        <v>Liability</v>
      </c>
      <c r="D33" s="8" t="str">
        <f>'Chart of Accounts'!D33</f>
        <v>Import</v>
      </c>
      <c r="E33" s="8">
        <f>SUMIF('Opening Balances'!$A:$A,A33,'Opening Balances'!$C:$C)</f>
        <v>0</v>
      </c>
      <c r="F33" s="8">
        <f>SUMIF('Opening Balances'!$A:$A,A33,'Opening Balances'!$D:$D)</f>
        <v>0</v>
      </c>
      <c r="G33" s="8">
        <f>SUMIF('Journal Entries'!$D:$D,A33,'Journal Entries'!$G:$G)</f>
        <v>0</v>
      </c>
      <c r="H33" s="8">
        <f>SUMIF('Journal Entries'!$D:$D,A33,'Journal Entries'!$H:$H)</f>
        <v>0</v>
      </c>
      <c r="I33" s="8">
        <f t="shared" si="1"/>
        <v>0</v>
      </c>
      <c r="J33" s="8">
        <f t="shared" si="2"/>
        <v>0</v>
      </c>
    </row>
    <row r="34" ht="15.75" customHeight="1">
      <c r="A34" s="8">
        <f>'Chart of Accounts'!A34</f>
        <v>2010</v>
      </c>
      <c r="B34" s="8" t="str">
        <f>'Chart of Accounts'!B34</f>
        <v>Accounts Payable - Local Suppliers</v>
      </c>
      <c r="C34" s="8" t="str">
        <f>'Chart of Accounts'!C34</f>
        <v>Liability</v>
      </c>
      <c r="D34" s="8" t="str">
        <f>'Chart of Accounts'!D34</f>
        <v>Shared</v>
      </c>
      <c r="E34" s="8">
        <f>SUMIF('Opening Balances'!$A:$A,A34,'Opening Balances'!$C:$C)</f>
        <v>0</v>
      </c>
      <c r="F34" s="8">
        <f>SUMIF('Opening Balances'!$A:$A,A34,'Opening Balances'!$D:$D)</f>
        <v>0</v>
      </c>
      <c r="G34" s="8">
        <f>SUMIF('Journal Entries'!$D:$D,A34,'Journal Entries'!$G:$G)</f>
        <v>0</v>
      </c>
      <c r="H34" s="8">
        <f>SUMIF('Journal Entries'!$D:$D,A34,'Journal Entries'!$H:$H)</f>
        <v>0</v>
      </c>
      <c r="I34" s="8">
        <f t="shared" si="1"/>
        <v>0</v>
      </c>
      <c r="J34" s="8">
        <f t="shared" si="2"/>
        <v>0</v>
      </c>
    </row>
    <row r="35" ht="15.75" customHeight="1">
      <c r="A35" s="8">
        <f>'Chart of Accounts'!A35</f>
        <v>2020</v>
      </c>
      <c r="B35" s="8" t="str">
        <f>'Chart of Accounts'!B35</f>
        <v>Import L/C Payable</v>
      </c>
      <c r="C35" s="8" t="str">
        <f>'Chart of Accounts'!C35</f>
        <v>Liability</v>
      </c>
      <c r="D35" s="8" t="str">
        <f>'Chart of Accounts'!D35</f>
        <v>Import</v>
      </c>
      <c r="E35" s="8">
        <f>SUMIF('Opening Balances'!$A:$A,A35,'Opening Balances'!$C:$C)</f>
        <v>0</v>
      </c>
      <c r="F35" s="8">
        <f>SUMIF('Opening Balances'!$A:$A,A35,'Opening Balances'!$D:$D)</f>
        <v>0</v>
      </c>
      <c r="G35" s="8">
        <f>SUMIF('Journal Entries'!$D:$D,A35,'Journal Entries'!$G:$G)</f>
        <v>0</v>
      </c>
      <c r="H35" s="8">
        <f>SUMIF('Journal Entries'!$D:$D,A35,'Journal Entries'!$H:$H)</f>
        <v>0</v>
      </c>
      <c r="I35" s="8">
        <f t="shared" si="1"/>
        <v>0</v>
      </c>
      <c r="J35" s="8">
        <f t="shared" si="2"/>
        <v>0</v>
      </c>
    </row>
    <row r="36" ht="15.75" customHeight="1">
      <c r="A36" s="8">
        <f>'Chart of Accounts'!A36</f>
        <v>2100</v>
      </c>
      <c r="B36" s="8" t="str">
        <f>'Chart of Accounts'!B36</f>
        <v>Customs Duty Payable</v>
      </c>
      <c r="C36" s="8" t="str">
        <f>'Chart of Accounts'!C36</f>
        <v>Liability</v>
      </c>
      <c r="D36" s="8" t="str">
        <f>'Chart of Accounts'!D36</f>
        <v>Import</v>
      </c>
      <c r="E36" s="8">
        <f>SUMIF('Opening Balances'!$A:$A,A36,'Opening Balances'!$C:$C)</f>
        <v>0</v>
      </c>
      <c r="F36" s="8">
        <f>SUMIF('Opening Balances'!$A:$A,A36,'Opening Balances'!$D:$D)</f>
        <v>0</v>
      </c>
      <c r="G36" s="8">
        <f>SUMIF('Journal Entries'!$D:$D,A36,'Journal Entries'!$G:$G)</f>
        <v>0</v>
      </c>
      <c r="H36" s="8">
        <f>SUMIF('Journal Entries'!$D:$D,A36,'Journal Entries'!$H:$H)</f>
        <v>0</v>
      </c>
      <c r="I36" s="8">
        <f t="shared" si="1"/>
        <v>0</v>
      </c>
      <c r="J36" s="8">
        <f t="shared" si="2"/>
        <v>0</v>
      </c>
    </row>
    <row r="37" ht="15.75" customHeight="1">
      <c r="A37" s="8">
        <f>'Chart of Accounts'!A37</f>
        <v>2110</v>
      </c>
      <c r="B37" s="8" t="str">
        <f>'Chart of Accounts'!B37</f>
        <v>Import Duty &amp; Tax Payable (CD/RD/AT/AIT)</v>
      </c>
      <c r="C37" s="8" t="str">
        <f>'Chart of Accounts'!C37</f>
        <v>Liability</v>
      </c>
      <c r="D37" s="8" t="str">
        <f>'Chart of Accounts'!D37</f>
        <v>Import</v>
      </c>
      <c r="E37" s="8">
        <f>SUMIF('Opening Balances'!$A:$A,A37,'Opening Balances'!$C:$C)</f>
        <v>0</v>
      </c>
      <c r="F37" s="8">
        <f>SUMIF('Opening Balances'!$A:$A,A37,'Opening Balances'!$D:$D)</f>
        <v>0</v>
      </c>
      <c r="G37" s="8">
        <f>SUMIF('Journal Entries'!$D:$D,A37,'Journal Entries'!$G:$G)</f>
        <v>0</v>
      </c>
      <c r="H37" s="8">
        <f>SUMIF('Journal Entries'!$D:$D,A37,'Journal Entries'!$H:$H)</f>
        <v>0</v>
      </c>
      <c r="I37" s="8">
        <f t="shared" si="1"/>
        <v>0</v>
      </c>
      <c r="J37" s="8">
        <f t="shared" si="2"/>
        <v>0</v>
      </c>
    </row>
    <row r="38" ht="15.75" customHeight="1">
      <c r="A38" s="8">
        <f>'Chart of Accounts'!A38</f>
        <v>2200</v>
      </c>
      <c r="B38" s="8" t="str">
        <f>'Chart of Accounts'!B38</f>
        <v>VAT Payable (Output VAT)</v>
      </c>
      <c r="C38" s="8" t="str">
        <f>'Chart of Accounts'!C38</f>
        <v>Liability</v>
      </c>
      <c r="D38" s="8" t="str">
        <f>'Chart of Accounts'!D38</f>
        <v>Shared</v>
      </c>
      <c r="E38" s="8">
        <f>SUMIF('Opening Balances'!$A:$A,A38,'Opening Balances'!$C:$C)</f>
        <v>0</v>
      </c>
      <c r="F38" s="8">
        <f>SUMIF('Opening Balances'!$A:$A,A38,'Opening Balances'!$D:$D)</f>
        <v>0</v>
      </c>
      <c r="G38" s="8">
        <f>SUMIF('Journal Entries'!$D:$D,A38,'Journal Entries'!$G:$G)</f>
        <v>0</v>
      </c>
      <c r="H38" s="8">
        <f>SUMIF('Journal Entries'!$D:$D,A38,'Journal Entries'!$H:$H)</f>
        <v>0</v>
      </c>
      <c r="I38" s="8">
        <f t="shared" si="1"/>
        <v>0</v>
      </c>
      <c r="J38" s="8">
        <f t="shared" si="2"/>
        <v>0</v>
      </c>
    </row>
    <row r="39" ht="15.75" customHeight="1">
      <c r="A39" s="8">
        <f>'Chart of Accounts'!A39</f>
        <v>2210</v>
      </c>
      <c r="B39" s="8" t="str">
        <f>'Chart of Accounts'!B39</f>
        <v>TDS Payable</v>
      </c>
      <c r="C39" s="8" t="str">
        <f>'Chart of Accounts'!C39</f>
        <v>Liability</v>
      </c>
      <c r="D39" s="8" t="str">
        <f>'Chart of Accounts'!D39</f>
        <v>Shared</v>
      </c>
      <c r="E39" s="8">
        <f>SUMIF('Opening Balances'!$A:$A,A39,'Opening Balances'!$C:$C)</f>
        <v>0</v>
      </c>
      <c r="F39" s="8">
        <f>SUMIF('Opening Balances'!$A:$A,A39,'Opening Balances'!$D:$D)</f>
        <v>0</v>
      </c>
      <c r="G39" s="8">
        <f>SUMIF('Journal Entries'!$D:$D,A39,'Journal Entries'!$G:$G)</f>
        <v>0</v>
      </c>
      <c r="H39" s="8">
        <f>SUMIF('Journal Entries'!$D:$D,A39,'Journal Entries'!$H:$H)</f>
        <v>0</v>
      </c>
      <c r="I39" s="8">
        <f t="shared" si="1"/>
        <v>0</v>
      </c>
      <c r="J39" s="8">
        <f t="shared" si="2"/>
        <v>0</v>
      </c>
    </row>
    <row r="40" ht="15.75" customHeight="1">
      <c r="A40" s="8">
        <f>'Chart of Accounts'!A40</f>
        <v>2220</v>
      </c>
      <c r="B40" s="8" t="str">
        <f>'Chart of Accounts'!B40</f>
        <v>AIT Payable</v>
      </c>
      <c r="C40" s="8" t="str">
        <f>'Chart of Accounts'!C40</f>
        <v>Liability</v>
      </c>
      <c r="D40" s="8" t="str">
        <f>'Chart of Accounts'!D40</f>
        <v>Shared</v>
      </c>
      <c r="E40" s="8">
        <f>SUMIF('Opening Balances'!$A:$A,A40,'Opening Balances'!$C:$C)</f>
        <v>0</v>
      </c>
      <c r="F40" s="8">
        <f>SUMIF('Opening Balances'!$A:$A,A40,'Opening Balances'!$D:$D)</f>
        <v>0</v>
      </c>
      <c r="G40" s="8">
        <f>SUMIF('Journal Entries'!$D:$D,A40,'Journal Entries'!$G:$G)</f>
        <v>0</v>
      </c>
      <c r="H40" s="8">
        <f>SUMIF('Journal Entries'!$D:$D,A40,'Journal Entries'!$H:$H)</f>
        <v>0</v>
      </c>
      <c r="I40" s="8">
        <f t="shared" si="1"/>
        <v>0</v>
      </c>
      <c r="J40" s="8">
        <f t="shared" si="2"/>
        <v>0</v>
      </c>
    </row>
    <row r="41" ht="15.75" customHeight="1">
      <c r="A41" s="8">
        <f>'Chart of Accounts'!A41</f>
        <v>2300</v>
      </c>
      <c r="B41" s="8" t="str">
        <f>'Chart of Accounts'!B41</f>
        <v>Salary Payable</v>
      </c>
      <c r="C41" s="8" t="str">
        <f>'Chart of Accounts'!C41</f>
        <v>Liability</v>
      </c>
      <c r="D41" s="8" t="str">
        <f>'Chart of Accounts'!D41</f>
        <v>Shared</v>
      </c>
      <c r="E41" s="8">
        <f>SUMIF('Opening Balances'!$A:$A,A41,'Opening Balances'!$C:$C)</f>
        <v>0</v>
      </c>
      <c r="F41" s="8">
        <f>SUMIF('Opening Balances'!$A:$A,A41,'Opening Balances'!$D:$D)</f>
        <v>0</v>
      </c>
      <c r="G41" s="8">
        <f>SUMIF('Journal Entries'!$D:$D,A41,'Journal Entries'!$G:$G)</f>
        <v>0</v>
      </c>
      <c r="H41" s="8">
        <f>SUMIF('Journal Entries'!$D:$D,A41,'Journal Entries'!$H:$H)</f>
        <v>0</v>
      </c>
      <c r="I41" s="8">
        <f t="shared" si="1"/>
        <v>0</v>
      </c>
      <c r="J41" s="8">
        <f t="shared" si="2"/>
        <v>0</v>
      </c>
    </row>
    <row r="42" ht="15.75" customHeight="1">
      <c r="A42" s="8">
        <f>'Chart of Accounts'!A42</f>
        <v>2310</v>
      </c>
      <c r="B42" s="8" t="str">
        <f>'Chart of Accounts'!B42</f>
        <v>Accrued Expenses</v>
      </c>
      <c r="C42" s="8" t="str">
        <f>'Chart of Accounts'!C42</f>
        <v>Liability</v>
      </c>
      <c r="D42" s="8" t="str">
        <f>'Chart of Accounts'!D42</f>
        <v>Shared</v>
      </c>
      <c r="E42" s="8">
        <f>SUMIF('Opening Balances'!$A:$A,A42,'Opening Balances'!$C:$C)</f>
        <v>0</v>
      </c>
      <c r="F42" s="8">
        <f>SUMIF('Opening Balances'!$A:$A,A42,'Opening Balances'!$D:$D)</f>
        <v>0</v>
      </c>
      <c r="G42" s="8">
        <f>SUMIF('Journal Entries'!$D:$D,A42,'Journal Entries'!$G:$G)</f>
        <v>0</v>
      </c>
      <c r="H42" s="8">
        <f>SUMIF('Journal Entries'!$D:$D,A42,'Journal Entries'!$H:$H)</f>
        <v>0</v>
      </c>
      <c r="I42" s="8">
        <f t="shared" si="1"/>
        <v>0</v>
      </c>
      <c r="J42" s="8">
        <f t="shared" si="2"/>
        <v>0</v>
      </c>
    </row>
    <row r="43" ht="15.75" customHeight="1">
      <c r="A43" s="8">
        <f>'Chart of Accounts'!A43</f>
        <v>2400</v>
      </c>
      <c r="B43" s="8" t="str">
        <f>'Chart of Accounts'!B43</f>
        <v>Bank Overdraft / Short-term Loan</v>
      </c>
      <c r="C43" s="8" t="str">
        <f>'Chart of Accounts'!C43</f>
        <v>Liability</v>
      </c>
      <c r="D43" s="8" t="str">
        <f>'Chart of Accounts'!D43</f>
        <v>Shared</v>
      </c>
      <c r="E43" s="8">
        <f>SUMIF('Opening Balances'!$A:$A,A43,'Opening Balances'!$C:$C)</f>
        <v>0</v>
      </c>
      <c r="F43" s="8">
        <f>SUMIF('Opening Balances'!$A:$A,A43,'Opening Balances'!$D:$D)</f>
        <v>0</v>
      </c>
      <c r="G43" s="8">
        <f>SUMIF('Journal Entries'!$D:$D,A43,'Journal Entries'!$G:$G)</f>
        <v>0</v>
      </c>
      <c r="H43" s="8">
        <f>SUMIF('Journal Entries'!$D:$D,A43,'Journal Entries'!$H:$H)</f>
        <v>0</v>
      </c>
      <c r="I43" s="8">
        <f t="shared" si="1"/>
        <v>0</v>
      </c>
      <c r="J43" s="8">
        <f t="shared" si="2"/>
        <v>0</v>
      </c>
    </row>
    <row r="44" ht="15.75" customHeight="1">
      <c r="A44" s="8">
        <f>'Chart of Accounts'!A44</f>
        <v>2500</v>
      </c>
      <c r="B44" s="8" t="str">
        <f>'Chart of Accounts'!B44</f>
        <v>Term Loan (Long-term)</v>
      </c>
      <c r="C44" s="8" t="str">
        <f>'Chart of Accounts'!C44</f>
        <v>Liability</v>
      </c>
      <c r="D44" s="8" t="str">
        <f>'Chart of Accounts'!D44</f>
        <v>Shared</v>
      </c>
      <c r="E44" s="8">
        <f>SUMIF('Opening Balances'!$A:$A,A44,'Opening Balances'!$C:$C)</f>
        <v>0</v>
      </c>
      <c r="F44" s="8">
        <f>SUMIF('Opening Balances'!$A:$A,A44,'Opening Balances'!$D:$D)</f>
        <v>0</v>
      </c>
      <c r="G44" s="8">
        <f>SUMIF('Journal Entries'!$D:$D,A44,'Journal Entries'!$G:$G)</f>
        <v>0</v>
      </c>
      <c r="H44" s="8">
        <f>SUMIF('Journal Entries'!$D:$D,A44,'Journal Entries'!$H:$H)</f>
        <v>0</v>
      </c>
      <c r="I44" s="8">
        <f t="shared" si="1"/>
        <v>0</v>
      </c>
      <c r="J44" s="8">
        <f t="shared" si="2"/>
        <v>0</v>
      </c>
    </row>
    <row r="45" ht="15.75" customHeight="1">
      <c r="A45" s="8">
        <f>'Chart of Accounts'!A45</f>
        <v>2510</v>
      </c>
      <c r="B45" s="8" t="str">
        <f>'Chart of Accounts'!B45</f>
        <v>Lease Liability</v>
      </c>
      <c r="C45" s="8" t="str">
        <f>'Chart of Accounts'!C45</f>
        <v>Liability</v>
      </c>
      <c r="D45" s="8" t="str">
        <f>'Chart of Accounts'!D45</f>
        <v>Shared</v>
      </c>
      <c r="E45" s="8">
        <f>SUMIF('Opening Balances'!$A:$A,A45,'Opening Balances'!$C:$C)</f>
        <v>0</v>
      </c>
      <c r="F45" s="8">
        <f>SUMIF('Opening Balances'!$A:$A,A45,'Opening Balances'!$D:$D)</f>
        <v>0</v>
      </c>
      <c r="G45" s="8">
        <f>SUMIF('Journal Entries'!$D:$D,A45,'Journal Entries'!$G:$G)</f>
        <v>0</v>
      </c>
      <c r="H45" s="8">
        <f>SUMIF('Journal Entries'!$D:$D,A45,'Journal Entries'!$H:$H)</f>
        <v>0</v>
      </c>
      <c r="I45" s="8">
        <f t="shared" si="1"/>
        <v>0</v>
      </c>
      <c r="J45" s="8">
        <f t="shared" si="2"/>
        <v>0</v>
      </c>
    </row>
    <row r="46" ht="15.75" customHeight="1">
      <c r="A46" s="8">
        <f>'Chart of Accounts'!A46</f>
        <v>3000</v>
      </c>
      <c r="B46" s="8" t="str">
        <f>'Chart of Accounts'!B46</f>
        <v>Owner's Capital</v>
      </c>
      <c r="C46" s="8" t="str">
        <f>'Chart of Accounts'!C46</f>
        <v>Equity</v>
      </c>
      <c r="D46" s="8" t="str">
        <f>'Chart of Accounts'!D46</f>
        <v>Shared</v>
      </c>
      <c r="E46" s="8">
        <f>SUMIF('Opening Balances'!$A:$A,A46,'Opening Balances'!$C:$C)</f>
        <v>0</v>
      </c>
      <c r="F46" s="8">
        <f>SUMIF('Opening Balances'!$A:$A,A46,'Opening Balances'!$D:$D)</f>
        <v>0</v>
      </c>
      <c r="G46" s="8">
        <f>SUMIF('Journal Entries'!$D:$D,A46,'Journal Entries'!$G:$G)</f>
        <v>0</v>
      </c>
      <c r="H46" s="8">
        <f>SUMIF('Journal Entries'!$D:$D,A46,'Journal Entries'!$H:$H)</f>
        <v>0</v>
      </c>
      <c r="I46" s="8">
        <f t="shared" si="1"/>
        <v>0</v>
      </c>
      <c r="J46" s="8">
        <f t="shared" si="2"/>
        <v>0</v>
      </c>
    </row>
    <row r="47" ht="15.75" customHeight="1">
      <c r="A47" s="8">
        <f>'Chart of Accounts'!A47</f>
        <v>3010</v>
      </c>
      <c r="B47" s="8" t="str">
        <f>'Chart of Accounts'!B47</f>
        <v>Owner's Drawings</v>
      </c>
      <c r="C47" s="8" t="str">
        <f>'Chart of Accounts'!C47</f>
        <v>Equity</v>
      </c>
      <c r="D47" s="8" t="str">
        <f>'Chart of Accounts'!D47</f>
        <v>Shared</v>
      </c>
      <c r="E47" s="8">
        <f>SUMIF('Opening Balances'!$A:$A,A47,'Opening Balances'!$C:$C)</f>
        <v>0</v>
      </c>
      <c r="F47" s="8">
        <f>SUMIF('Opening Balances'!$A:$A,A47,'Opening Balances'!$D:$D)</f>
        <v>0</v>
      </c>
      <c r="G47" s="8">
        <f>SUMIF('Journal Entries'!$D:$D,A47,'Journal Entries'!$G:$G)</f>
        <v>0</v>
      </c>
      <c r="H47" s="8">
        <f>SUMIF('Journal Entries'!$D:$D,A47,'Journal Entries'!$H:$H)</f>
        <v>0</v>
      </c>
      <c r="I47" s="8">
        <f t="shared" si="1"/>
        <v>0</v>
      </c>
      <c r="J47" s="8">
        <f t="shared" si="2"/>
        <v>0</v>
      </c>
    </row>
    <row r="48" ht="15.75" customHeight="1">
      <c r="A48" s="8">
        <f>'Chart of Accounts'!A48</f>
        <v>3100</v>
      </c>
      <c r="B48" s="8" t="str">
        <f>'Chart of Accounts'!B48</f>
        <v>Retained Earnings</v>
      </c>
      <c r="C48" s="8" t="str">
        <f>'Chart of Accounts'!C48</f>
        <v>Equity</v>
      </c>
      <c r="D48" s="8" t="str">
        <f>'Chart of Accounts'!D48</f>
        <v>Shared</v>
      </c>
      <c r="E48" s="8">
        <f>SUMIF('Opening Balances'!$A:$A,A48,'Opening Balances'!$C:$C)</f>
        <v>0</v>
      </c>
      <c r="F48" s="8">
        <f>SUMIF('Opening Balances'!$A:$A,A48,'Opening Balances'!$D:$D)</f>
        <v>0</v>
      </c>
      <c r="G48" s="8">
        <f>SUMIF('Journal Entries'!$D:$D,A48,'Journal Entries'!$G:$G)</f>
        <v>0</v>
      </c>
      <c r="H48" s="8">
        <f>SUMIF('Journal Entries'!$D:$D,A48,'Journal Entries'!$H:$H)</f>
        <v>0</v>
      </c>
      <c r="I48" s="8">
        <f t="shared" si="1"/>
        <v>0</v>
      </c>
      <c r="J48" s="8">
        <f t="shared" si="2"/>
        <v>0</v>
      </c>
    </row>
    <row r="49" ht="15.75" customHeight="1">
      <c r="A49" s="8">
        <f>'Chart of Accounts'!A49</f>
        <v>3200</v>
      </c>
      <c r="B49" s="8" t="str">
        <f>'Chart of Accounts'!B49</f>
        <v>Opening Balance Equity</v>
      </c>
      <c r="C49" s="8" t="str">
        <f>'Chart of Accounts'!C49</f>
        <v>Equity</v>
      </c>
      <c r="D49" s="8" t="str">
        <f>'Chart of Accounts'!D49</f>
        <v>Shared</v>
      </c>
      <c r="E49" s="8">
        <f>SUMIF('Opening Balances'!$A:$A,A49,'Opening Balances'!$C:$C)</f>
        <v>0</v>
      </c>
      <c r="F49" s="8">
        <f>SUMIF('Opening Balances'!$A:$A,A49,'Opening Balances'!$D:$D)</f>
        <v>800000</v>
      </c>
      <c r="G49" s="8">
        <f>SUMIF('Journal Entries'!$D:$D,A49,'Journal Entries'!$G:$G)</f>
        <v>0</v>
      </c>
      <c r="H49" s="8">
        <f>SUMIF('Journal Entries'!$D:$D,A49,'Journal Entries'!$H:$H)</f>
        <v>0</v>
      </c>
      <c r="I49" s="8">
        <f t="shared" si="1"/>
        <v>0</v>
      </c>
      <c r="J49" s="8">
        <f t="shared" si="2"/>
        <v>800000</v>
      </c>
    </row>
    <row r="50" ht="15.75" customHeight="1">
      <c r="A50" s="8">
        <f>'Chart of Accounts'!A50</f>
        <v>4000</v>
      </c>
      <c r="B50" s="8" t="str">
        <f>'Chart of Accounts'!B50</f>
        <v>Import Sales</v>
      </c>
      <c r="C50" s="8" t="str">
        <f>'Chart of Accounts'!C50</f>
        <v>Revenue</v>
      </c>
      <c r="D50" s="8" t="str">
        <f>'Chart of Accounts'!D50</f>
        <v>Import</v>
      </c>
      <c r="E50" s="8">
        <f>SUMIF('Opening Balances'!$A:$A,A50,'Opening Balances'!$C:$C)</f>
        <v>0</v>
      </c>
      <c r="F50" s="8">
        <f>SUMIF('Opening Balances'!$A:$A,A50,'Opening Balances'!$D:$D)</f>
        <v>0</v>
      </c>
      <c r="G50" s="8">
        <f>SUMIF('Journal Entries'!$D:$D,A50,'Journal Entries'!$G:$G)</f>
        <v>0</v>
      </c>
      <c r="H50" s="8">
        <f>SUMIF('Journal Entries'!$D:$D,A50,'Journal Entries'!$H:$H)</f>
        <v>0</v>
      </c>
      <c r="I50" s="8">
        <f t="shared" si="1"/>
        <v>0</v>
      </c>
      <c r="J50" s="8">
        <f t="shared" si="2"/>
        <v>0</v>
      </c>
    </row>
    <row r="51" ht="15.75" customHeight="1">
      <c r="A51" s="8">
        <f>'Chart of Accounts'!A51</f>
        <v>4010</v>
      </c>
      <c r="B51" s="8" t="str">
        <f>'Chart of Accounts'!B51</f>
        <v>Manufacturing Sales</v>
      </c>
      <c r="C51" s="8" t="str">
        <f>'Chart of Accounts'!C51</f>
        <v>Revenue</v>
      </c>
      <c r="D51" s="8" t="str">
        <f>'Chart of Accounts'!D51</f>
        <v>Manufacturing</v>
      </c>
      <c r="E51" s="8">
        <f>SUMIF('Opening Balances'!$A:$A,A51,'Opening Balances'!$C:$C)</f>
        <v>0</v>
      </c>
      <c r="F51" s="8">
        <f>SUMIF('Opening Balances'!$A:$A,A51,'Opening Balances'!$D:$D)</f>
        <v>0</v>
      </c>
      <c r="G51" s="8">
        <f>SUMIF('Journal Entries'!$D:$D,A51,'Journal Entries'!$G:$G)</f>
        <v>0</v>
      </c>
      <c r="H51" s="8">
        <f>SUMIF('Journal Entries'!$D:$D,A51,'Journal Entries'!$H:$H)</f>
        <v>4000</v>
      </c>
      <c r="I51" s="8">
        <f t="shared" si="1"/>
        <v>0</v>
      </c>
      <c r="J51" s="8">
        <f t="shared" si="2"/>
        <v>4000</v>
      </c>
    </row>
    <row r="52" ht="15.75" customHeight="1">
      <c r="A52" s="8">
        <f>'Chart of Accounts'!A52</f>
        <v>4020</v>
      </c>
      <c r="B52" s="8" t="str">
        <f>'Chart of Accounts'!B52</f>
        <v>Packaging Sales</v>
      </c>
      <c r="C52" s="8" t="str">
        <f>'Chart of Accounts'!C52</f>
        <v>Revenue</v>
      </c>
      <c r="D52" s="8" t="str">
        <f>'Chart of Accounts'!D52</f>
        <v>Packaging</v>
      </c>
      <c r="E52" s="8">
        <f>SUMIF('Opening Balances'!$A:$A,A52,'Opening Balances'!$C:$C)</f>
        <v>0</v>
      </c>
      <c r="F52" s="8">
        <f>SUMIF('Opening Balances'!$A:$A,A52,'Opening Balances'!$D:$D)</f>
        <v>0</v>
      </c>
      <c r="G52" s="8">
        <f>SUMIF('Journal Entries'!$D:$D,A52,'Journal Entries'!$G:$G)</f>
        <v>0</v>
      </c>
      <c r="H52" s="8">
        <f>SUMIF('Journal Entries'!$D:$D,A52,'Journal Entries'!$H:$H)</f>
        <v>0</v>
      </c>
      <c r="I52" s="8">
        <f t="shared" si="1"/>
        <v>0</v>
      </c>
      <c r="J52" s="8">
        <f t="shared" si="2"/>
        <v>0</v>
      </c>
    </row>
    <row r="53" ht="15.75" customHeight="1">
      <c r="A53" s="8">
        <f>'Chart of Accounts'!A53</f>
        <v>4030</v>
      </c>
      <c r="B53" s="8" t="str">
        <f>'Chart of Accounts'!B53</f>
        <v>Trading Sales</v>
      </c>
      <c r="C53" s="8" t="str">
        <f>'Chart of Accounts'!C53</f>
        <v>Revenue</v>
      </c>
      <c r="D53" s="8" t="str">
        <f>'Chart of Accounts'!D53</f>
        <v>Trading</v>
      </c>
      <c r="E53" s="8">
        <f>SUMIF('Opening Balances'!$A:$A,A53,'Opening Balances'!$C:$C)</f>
        <v>0</v>
      </c>
      <c r="F53" s="8">
        <f>SUMIF('Opening Balances'!$A:$A,A53,'Opening Balances'!$D:$D)</f>
        <v>0</v>
      </c>
      <c r="G53" s="8">
        <f>SUMIF('Journal Entries'!$D:$D,A53,'Journal Entries'!$G:$G)</f>
        <v>0</v>
      </c>
      <c r="H53" s="8">
        <f>SUMIF('Journal Entries'!$D:$D,A53,'Journal Entries'!$H:$H)</f>
        <v>0</v>
      </c>
      <c r="I53" s="8">
        <f t="shared" si="1"/>
        <v>0</v>
      </c>
      <c r="J53" s="8">
        <f t="shared" si="2"/>
        <v>0</v>
      </c>
    </row>
    <row r="54" ht="15.75" customHeight="1">
      <c r="A54" s="8">
        <f>'Chart of Accounts'!A54</f>
        <v>4040</v>
      </c>
      <c r="B54" s="8" t="str">
        <f>'Chart of Accounts'!B54</f>
        <v>Application / Service Income</v>
      </c>
      <c r="C54" s="8" t="str">
        <f>'Chart of Accounts'!C54</f>
        <v>Revenue</v>
      </c>
      <c r="D54" s="8" t="str">
        <f>'Chart of Accounts'!D54</f>
        <v>Application</v>
      </c>
      <c r="E54" s="8">
        <f>SUMIF('Opening Balances'!$A:$A,A54,'Opening Balances'!$C:$C)</f>
        <v>0</v>
      </c>
      <c r="F54" s="8">
        <f>SUMIF('Opening Balances'!$A:$A,A54,'Opening Balances'!$D:$D)</f>
        <v>0</v>
      </c>
      <c r="G54" s="8">
        <f>SUMIF('Journal Entries'!$D:$D,A54,'Journal Entries'!$G:$G)</f>
        <v>0</v>
      </c>
      <c r="H54" s="8">
        <f>SUMIF('Journal Entries'!$D:$D,A54,'Journal Entries'!$H:$H)</f>
        <v>0</v>
      </c>
      <c r="I54" s="8">
        <f t="shared" si="1"/>
        <v>0</v>
      </c>
      <c r="J54" s="8">
        <f t="shared" si="2"/>
        <v>0</v>
      </c>
    </row>
    <row r="55" ht="15.75" customHeight="1">
      <c r="A55" s="8">
        <f>'Chart of Accounts'!A55</f>
        <v>4100</v>
      </c>
      <c r="B55" s="8" t="str">
        <f>'Chart of Accounts'!B55</f>
        <v>Sales Return &amp; Allowances</v>
      </c>
      <c r="C55" s="8" t="str">
        <f>'Chart of Accounts'!C55</f>
        <v>Revenue</v>
      </c>
      <c r="D55" s="8" t="str">
        <f>'Chart of Accounts'!D55</f>
        <v>Shared</v>
      </c>
      <c r="E55" s="8">
        <f>SUMIF('Opening Balances'!$A:$A,A55,'Opening Balances'!$C:$C)</f>
        <v>0</v>
      </c>
      <c r="F55" s="8">
        <f>SUMIF('Opening Balances'!$A:$A,A55,'Opening Balances'!$D:$D)</f>
        <v>0</v>
      </c>
      <c r="G55" s="8">
        <f>SUMIF('Journal Entries'!$D:$D,A55,'Journal Entries'!$G:$G)</f>
        <v>0</v>
      </c>
      <c r="H55" s="8">
        <f>SUMIF('Journal Entries'!$D:$D,A55,'Journal Entries'!$H:$H)</f>
        <v>0</v>
      </c>
      <c r="I55" s="8">
        <f t="shared" si="1"/>
        <v>0</v>
      </c>
      <c r="J55" s="8">
        <f t="shared" si="2"/>
        <v>0</v>
      </c>
    </row>
    <row r="56" ht="15.75" customHeight="1">
      <c r="A56" s="8">
        <f>'Chart of Accounts'!A56</f>
        <v>4110</v>
      </c>
      <c r="B56" s="8" t="str">
        <f>'Chart of Accounts'!B56</f>
        <v>Sales Discount</v>
      </c>
      <c r="C56" s="8" t="str">
        <f>'Chart of Accounts'!C56</f>
        <v>Revenue</v>
      </c>
      <c r="D56" s="8" t="str">
        <f>'Chart of Accounts'!D56</f>
        <v>Shared</v>
      </c>
      <c r="E56" s="8">
        <f>SUMIF('Opening Balances'!$A:$A,A56,'Opening Balances'!$C:$C)</f>
        <v>0</v>
      </c>
      <c r="F56" s="8">
        <f>SUMIF('Opening Balances'!$A:$A,A56,'Opening Balances'!$D:$D)</f>
        <v>0</v>
      </c>
      <c r="G56" s="8">
        <f>SUMIF('Journal Entries'!$D:$D,A56,'Journal Entries'!$G:$G)</f>
        <v>0</v>
      </c>
      <c r="H56" s="8">
        <f>SUMIF('Journal Entries'!$D:$D,A56,'Journal Entries'!$H:$H)</f>
        <v>0</v>
      </c>
      <c r="I56" s="8">
        <f t="shared" si="1"/>
        <v>0</v>
      </c>
      <c r="J56" s="8">
        <f t="shared" si="2"/>
        <v>0</v>
      </c>
    </row>
    <row r="57" ht="15.75" customHeight="1">
      <c r="A57" s="8">
        <f>'Chart of Accounts'!A57</f>
        <v>5000</v>
      </c>
      <c r="B57" s="8" t="str">
        <f>'Chart of Accounts'!B57</f>
        <v>COGS - Import</v>
      </c>
      <c r="C57" s="8" t="str">
        <f>'Chart of Accounts'!C57</f>
        <v>COGS</v>
      </c>
      <c r="D57" s="8" t="str">
        <f>'Chart of Accounts'!D57</f>
        <v>Import</v>
      </c>
      <c r="E57" s="8">
        <f>SUMIF('Opening Balances'!$A:$A,A57,'Opening Balances'!$C:$C)</f>
        <v>0</v>
      </c>
      <c r="F57" s="8">
        <f>SUMIF('Opening Balances'!$A:$A,A57,'Opening Balances'!$D:$D)</f>
        <v>0</v>
      </c>
      <c r="G57" s="8">
        <f>SUMIF('Journal Entries'!$D:$D,A57,'Journal Entries'!$G:$G)</f>
        <v>0</v>
      </c>
      <c r="H57" s="8">
        <f>SUMIF('Journal Entries'!$D:$D,A57,'Journal Entries'!$H:$H)</f>
        <v>0</v>
      </c>
      <c r="I57" s="8">
        <f t="shared" si="1"/>
        <v>0</v>
      </c>
      <c r="J57" s="8">
        <f t="shared" si="2"/>
        <v>0</v>
      </c>
    </row>
    <row r="58" ht="15.75" customHeight="1">
      <c r="A58" s="8">
        <f>'Chart of Accounts'!A58</f>
        <v>5010</v>
      </c>
      <c r="B58" s="8" t="str">
        <f>'Chart of Accounts'!B58</f>
        <v>COGS - Manufacturing (Raw Material Consumed)</v>
      </c>
      <c r="C58" s="8" t="str">
        <f>'Chart of Accounts'!C58</f>
        <v>COGS</v>
      </c>
      <c r="D58" s="8" t="str">
        <f>'Chart of Accounts'!D58</f>
        <v>Manufacturing</v>
      </c>
      <c r="E58" s="8">
        <f>SUMIF('Opening Balances'!$A:$A,A58,'Opening Balances'!$C:$C)</f>
        <v>0</v>
      </c>
      <c r="F58" s="8">
        <f>SUMIF('Opening Balances'!$A:$A,A58,'Opening Balances'!$D:$D)</f>
        <v>0</v>
      </c>
      <c r="G58" s="8">
        <f>SUMIF('Journal Entries'!$D:$D,A58,'Journal Entries'!$G:$G)</f>
        <v>2400</v>
      </c>
      <c r="H58" s="8">
        <f>SUMIF('Journal Entries'!$D:$D,A58,'Journal Entries'!$H:$H)</f>
        <v>0</v>
      </c>
      <c r="I58" s="8">
        <f t="shared" si="1"/>
        <v>2400</v>
      </c>
      <c r="J58" s="8">
        <f t="shared" si="2"/>
        <v>0</v>
      </c>
    </row>
    <row r="59" ht="15.75" customHeight="1">
      <c r="A59" s="8">
        <f>'Chart of Accounts'!A59</f>
        <v>5011</v>
      </c>
      <c r="B59" s="8" t="str">
        <f>'Chart of Accounts'!B59</f>
        <v>Direct Labor - Manufacturing</v>
      </c>
      <c r="C59" s="8" t="str">
        <f>'Chart of Accounts'!C59</f>
        <v>COGS</v>
      </c>
      <c r="D59" s="8" t="str">
        <f>'Chart of Accounts'!D59</f>
        <v>Manufacturing</v>
      </c>
      <c r="E59" s="8">
        <f>SUMIF('Opening Balances'!$A:$A,A59,'Opening Balances'!$C:$C)</f>
        <v>0</v>
      </c>
      <c r="F59" s="8">
        <f>SUMIF('Opening Balances'!$A:$A,A59,'Opening Balances'!$D:$D)</f>
        <v>0</v>
      </c>
      <c r="G59" s="8">
        <f>SUMIF('Journal Entries'!$D:$D,A59,'Journal Entries'!$G:$G)</f>
        <v>0</v>
      </c>
      <c r="H59" s="8">
        <f>SUMIF('Journal Entries'!$D:$D,A59,'Journal Entries'!$H:$H)</f>
        <v>0</v>
      </c>
      <c r="I59" s="8">
        <f t="shared" si="1"/>
        <v>0</v>
      </c>
      <c r="J59" s="8">
        <f t="shared" si="2"/>
        <v>0</v>
      </c>
    </row>
    <row r="60" ht="15.75" customHeight="1">
      <c r="A60" s="8">
        <f>'Chart of Accounts'!A60</f>
        <v>5012</v>
      </c>
      <c r="B60" s="8" t="str">
        <f>'Chart of Accounts'!B60</f>
        <v>Factory Overhead - Manufacturing</v>
      </c>
      <c r="C60" s="8" t="str">
        <f>'Chart of Accounts'!C60</f>
        <v>COGS</v>
      </c>
      <c r="D60" s="8" t="str">
        <f>'Chart of Accounts'!D60</f>
        <v>Manufacturing</v>
      </c>
      <c r="E60" s="8">
        <f>SUMIF('Opening Balances'!$A:$A,A60,'Opening Balances'!$C:$C)</f>
        <v>0</v>
      </c>
      <c r="F60" s="8">
        <f>SUMIF('Opening Balances'!$A:$A,A60,'Opening Balances'!$D:$D)</f>
        <v>0</v>
      </c>
      <c r="G60" s="8">
        <f>SUMIF('Journal Entries'!$D:$D,A60,'Journal Entries'!$G:$G)</f>
        <v>0</v>
      </c>
      <c r="H60" s="8">
        <f>SUMIF('Journal Entries'!$D:$D,A60,'Journal Entries'!$H:$H)</f>
        <v>0</v>
      </c>
      <c r="I60" s="8">
        <f t="shared" si="1"/>
        <v>0</v>
      </c>
      <c r="J60" s="8">
        <f t="shared" si="2"/>
        <v>0</v>
      </c>
    </row>
    <row r="61" ht="15.75" customHeight="1">
      <c r="A61" s="8">
        <f>'Chart of Accounts'!A61</f>
        <v>5020</v>
      </c>
      <c r="B61" s="8" t="str">
        <f>'Chart of Accounts'!B61</f>
        <v>COGS - Packaging</v>
      </c>
      <c r="C61" s="8" t="str">
        <f>'Chart of Accounts'!C61</f>
        <v>COGS</v>
      </c>
      <c r="D61" s="8" t="str">
        <f>'Chart of Accounts'!D61</f>
        <v>Packaging</v>
      </c>
      <c r="E61" s="8">
        <f>SUMIF('Opening Balances'!$A:$A,A61,'Opening Balances'!$C:$C)</f>
        <v>0</v>
      </c>
      <c r="F61" s="8">
        <f>SUMIF('Opening Balances'!$A:$A,A61,'Opening Balances'!$D:$D)</f>
        <v>0</v>
      </c>
      <c r="G61" s="8">
        <f>SUMIF('Journal Entries'!$D:$D,A61,'Journal Entries'!$G:$G)</f>
        <v>0</v>
      </c>
      <c r="H61" s="8">
        <f>SUMIF('Journal Entries'!$D:$D,A61,'Journal Entries'!$H:$H)</f>
        <v>0</v>
      </c>
      <c r="I61" s="8">
        <f t="shared" si="1"/>
        <v>0</v>
      </c>
      <c r="J61" s="8">
        <f t="shared" si="2"/>
        <v>0</v>
      </c>
    </row>
    <row r="62" ht="15.75" customHeight="1">
      <c r="A62" s="8">
        <f>'Chart of Accounts'!A62</f>
        <v>5030</v>
      </c>
      <c r="B62" s="8" t="str">
        <f>'Chart of Accounts'!B62</f>
        <v>COGS - Trading</v>
      </c>
      <c r="C62" s="8" t="str">
        <f>'Chart of Accounts'!C62</f>
        <v>COGS</v>
      </c>
      <c r="D62" s="8" t="str">
        <f>'Chart of Accounts'!D62</f>
        <v>Trading</v>
      </c>
      <c r="E62" s="8">
        <f>SUMIF('Opening Balances'!$A:$A,A62,'Opening Balances'!$C:$C)</f>
        <v>0</v>
      </c>
      <c r="F62" s="8">
        <f>SUMIF('Opening Balances'!$A:$A,A62,'Opening Balances'!$D:$D)</f>
        <v>0</v>
      </c>
      <c r="G62" s="8">
        <f>SUMIF('Journal Entries'!$D:$D,A62,'Journal Entries'!$G:$G)</f>
        <v>0</v>
      </c>
      <c r="H62" s="8">
        <f>SUMIF('Journal Entries'!$D:$D,A62,'Journal Entries'!$H:$H)</f>
        <v>0</v>
      </c>
      <c r="I62" s="8">
        <f t="shared" si="1"/>
        <v>0</v>
      </c>
      <c r="J62" s="8">
        <f t="shared" si="2"/>
        <v>0</v>
      </c>
    </row>
    <row r="63" ht="15.75" customHeight="1">
      <c r="A63" s="8">
        <f>'Chart of Accounts'!A63</f>
        <v>5040</v>
      </c>
      <c r="B63" s="8" t="str">
        <f>'Chart of Accounts'!B63</f>
        <v>Customs Duty &amp; Clearing (Import)</v>
      </c>
      <c r="C63" s="8" t="str">
        <f>'Chart of Accounts'!C63</f>
        <v>COGS</v>
      </c>
      <c r="D63" s="8" t="str">
        <f>'Chart of Accounts'!D63</f>
        <v>Import</v>
      </c>
      <c r="E63" s="8">
        <f>SUMIF('Opening Balances'!$A:$A,A63,'Opening Balances'!$C:$C)</f>
        <v>0</v>
      </c>
      <c r="F63" s="8">
        <f>SUMIF('Opening Balances'!$A:$A,A63,'Opening Balances'!$D:$D)</f>
        <v>0</v>
      </c>
      <c r="G63" s="8">
        <f>SUMIF('Journal Entries'!$D:$D,A63,'Journal Entries'!$G:$G)</f>
        <v>0</v>
      </c>
      <c r="H63" s="8">
        <f>SUMIF('Journal Entries'!$D:$D,A63,'Journal Entries'!$H:$H)</f>
        <v>0</v>
      </c>
      <c r="I63" s="8">
        <f t="shared" si="1"/>
        <v>0</v>
      </c>
      <c r="J63" s="8">
        <f t="shared" si="2"/>
        <v>0</v>
      </c>
    </row>
    <row r="64" ht="15.75" customHeight="1">
      <c r="A64" s="8">
        <f>'Chart of Accounts'!A64</f>
        <v>5050</v>
      </c>
      <c r="B64" s="8" t="str">
        <f>'Chart of Accounts'!B64</f>
        <v>Freight Inward (Import)</v>
      </c>
      <c r="C64" s="8" t="str">
        <f>'Chart of Accounts'!C64</f>
        <v>COGS</v>
      </c>
      <c r="D64" s="8" t="str">
        <f>'Chart of Accounts'!D64</f>
        <v>Import</v>
      </c>
      <c r="E64" s="8">
        <f>SUMIF('Opening Balances'!$A:$A,A64,'Opening Balances'!$C:$C)</f>
        <v>0</v>
      </c>
      <c r="F64" s="8">
        <f>SUMIF('Opening Balances'!$A:$A,A64,'Opening Balances'!$D:$D)</f>
        <v>0</v>
      </c>
      <c r="G64" s="8">
        <f>SUMIF('Journal Entries'!$D:$D,A64,'Journal Entries'!$G:$G)</f>
        <v>0</v>
      </c>
      <c r="H64" s="8">
        <f>SUMIF('Journal Entries'!$D:$D,A64,'Journal Entries'!$H:$H)</f>
        <v>0</v>
      </c>
      <c r="I64" s="8">
        <f t="shared" si="1"/>
        <v>0</v>
      </c>
      <c r="J64" s="8">
        <f t="shared" si="2"/>
        <v>0</v>
      </c>
    </row>
    <row r="65" ht="15.75" customHeight="1">
      <c r="A65" s="8">
        <f>'Chart of Accounts'!A65</f>
        <v>5060</v>
      </c>
      <c r="B65" s="8" t="str">
        <f>'Chart of Accounts'!B65</f>
        <v>L/C Charges (Import)</v>
      </c>
      <c r="C65" s="8" t="str">
        <f>'Chart of Accounts'!C65</f>
        <v>COGS</v>
      </c>
      <c r="D65" s="8" t="str">
        <f>'Chart of Accounts'!D65</f>
        <v>Import</v>
      </c>
      <c r="E65" s="8">
        <f>SUMIF('Opening Balances'!$A:$A,A65,'Opening Balances'!$C:$C)</f>
        <v>0</v>
      </c>
      <c r="F65" s="8">
        <f>SUMIF('Opening Balances'!$A:$A,A65,'Opening Balances'!$D:$D)</f>
        <v>0</v>
      </c>
      <c r="G65" s="8">
        <f>SUMIF('Journal Entries'!$D:$D,A65,'Journal Entries'!$G:$G)</f>
        <v>0</v>
      </c>
      <c r="H65" s="8">
        <f>SUMIF('Journal Entries'!$D:$D,A65,'Journal Entries'!$H:$H)</f>
        <v>0</v>
      </c>
      <c r="I65" s="8">
        <f t="shared" si="1"/>
        <v>0</v>
      </c>
      <c r="J65" s="8">
        <f t="shared" si="2"/>
        <v>0</v>
      </c>
    </row>
    <row r="66" ht="15.75" customHeight="1">
      <c r="A66" s="8">
        <f>'Chart of Accounts'!A66</f>
        <v>5070</v>
      </c>
      <c r="B66" s="8" t="str">
        <f>'Chart of Accounts'!B66</f>
        <v>Carrying &amp; Forwarding Charges</v>
      </c>
      <c r="C66" s="8" t="str">
        <f>'Chart of Accounts'!C66</f>
        <v>COGS</v>
      </c>
      <c r="D66" s="8" t="str">
        <f>'Chart of Accounts'!D66</f>
        <v>Import</v>
      </c>
      <c r="E66" s="8">
        <f>SUMIF('Opening Balances'!$A:$A,A66,'Opening Balances'!$C:$C)</f>
        <v>0</v>
      </c>
      <c r="F66" s="8">
        <f>SUMIF('Opening Balances'!$A:$A,A66,'Opening Balances'!$D:$D)</f>
        <v>0</v>
      </c>
      <c r="G66" s="8">
        <f>SUMIF('Journal Entries'!$D:$D,A66,'Journal Entries'!$G:$G)</f>
        <v>0</v>
      </c>
      <c r="H66" s="8">
        <f>SUMIF('Journal Entries'!$D:$D,A66,'Journal Entries'!$H:$H)</f>
        <v>0</v>
      </c>
      <c r="I66" s="8">
        <f t="shared" si="1"/>
        <v>0</v>
      </c>
      <c r="J66" s="8">
        <f t="shared" si="2"/>
        <v>0</v>
      </c>
    </row>
    <row r="67" ht="15.75" customHeight="1">
      <c r="A67" s="8">
        <f>'Chart of Accounts'!A67</f>
        <v>6000</v>
      </c>
      <c r="B67" s="8" t="str">
        <f>'Chart of Accounts'!B67</f>
        <v>Rent Expense</v>
      </c>
      <c r="C67" s="8" t="str">
        <f>'Chart of Accounts'!C67</f>
        <v>Expense</v>
      </c>
      <c r="D67" s="8" t="str">
        <f>'Chart of Accounts'!D67</f>
        <v>Shared</v>
      </c>
      <c r="E67" s="8">
        <f>SUMIF('Opening Balances'!$A:$A,A67,'Opening Balances'!$C:$C)</f>
        <v>0</v>
      </c>
      <c r="F67" s="8">
        <f>SUMIF('Opening Balances'!$A:$A,A67,'Opening Balances'!$D:$D)</f>
        <v>0</v>
      </c>
      <c r="G67" s="8">
        <f>SUMIF('Journal Entries'!$D:$D,A67,'Journal Entries'!$G:$G)</f>
        <v>0</v>
      </c>
      <c r="H67" s="8">
        <f>SUMIF('Journal Entries'!$D:$D,A67,'Journal Entries'!$H:$H)</f>
        <v>0</v>
      </c>
      <c r="I67" s="8">
        <f t="shared" si="1"/>
        <v>0</v>
      </c>
      <c r="J67" s="8">
        <f t="shared" si="2"/>
        <v>0</v>
      </c>
    </row>
    <row r="68" ht="15.75" customHeight="1">
      <c r="A68" s="8">
        <f>'Chart of Accounts'!A68</f>
        <v>6010</v>
      </c>
      <c r="B68" s="8" t="str">
        <f>'Chart of Accounts'!B68</f>
        <v>Salary &amp; Wages - Office</v>
      </c>
      <c r="C68" s="8" t="str">
        <f>'Chart of Accounts'!C68</f>
        <v>Expense</v>
      </c>
      <c r="D68" s="8" t="str">
        <f>'Chart of Accounts'!D68</f>
        <v>Shared</v>
      </c>
      <c r="E68" s="8">
        <f>SUMIF('Opening Balances'!$A:$A,A68,'Opening Balances'!$C:$C)</f>
        <v>0</v>
      </c>
      <c r="F68" s="8">
        <f>SUMIF('Opening Balances'!$A:$A,A68,'Opening Balances'!$D:$D)</f>
        <v>0</v>
      </c>
      <c r="G68" s="8">
        <f>SUMIF('Journal Entries'!$D:$D,A68,'Journal Entries'!$G:$G)</f>
        <v>0</v>
      </c>
      <c r="H68" s="8">
        <f>SUMIF('Journal Entries'!$D:$D,A68,'Journal Entries'!$H:$H)</f>
        <v>0</v>
      </c>
      <c r="I68" s="8">
        <f t="shared" si="1"/>
        <v>0</v>
      </c>
      <c r="J68" s="8">
        <f t="shared" si="2"/>
        <v>0</v>
      </c>
    </row>
    <row r="69" ht="15.75" customHeight="1">
      <c r="A69" s="8">
        <f>'Chart of Accounts'!A69</f>
        <v>6020</v>
      </c>
      <c r="B69" s="8" t="str">
        <f>'Chart of Accounts'!B69</f>
        <v>Utilities (Electricity/Gas/Water)</v>
      </c>
      <c r="C69" s="8" t="str">
        <f>'Chart of Accounts'!C69</f>
        <v>Expense</v>
      </c>
      <c r="D69" s="8" t="str">
        <f>'Chart of Accounts'!D69</f>
        <v>Shared</v>
      </c>
      <c r="E69" s="8">
        <f>SUMIF('Opening Balances'!$A:$A,A69,'Opening Balances'!$C:$C)</f>
        <v>0</v>
      </c>
      <c r="F69" s="8">
        <f>SUMIF('Opening Balances'!$A:$A,A69,'Opening Balances'!$D:$D)</f>
        <v>0</v>
      </c>
      <c r="G69" s="8">
        <f>SUMIF('Journal Entries'!$D:$D,A69,'Journal Entries'!$G:$G)</f>
        <v>0</v>
      </c>
      <c r="H69" s="8">
        <f>SUMIF('Journal Entries'!$D:$D,A69,'Journal Entries'!$H:$H)</f>
        <v>0</v>
      </c>
      <c r="I69" s="8">
        <f t="shared" si="1"/>
        <v>0</v>
      </c>
      <c r="J69" s="8">
        <f t="shared" si="2"/>
        <v>0</v>
      </c>
    </row>
    <row r="70" ht="15.75" customHeight="1">
      <c r="A70" s="8">
        <f>'Chart of Accounts'!A70</f>
        <v>6030</v>
      </c>
      <c r="B70" s="8" t="str">
        <f>'Chart of Accounts'!B70</f>
        <v>Office Admin Expense</v>
      </c>
      <c r="C70" s="8" t="str">
        <f>'Chart of Accounts'!C70</f>
        <v>Expense</v>
      </c>
      <c r="D70" s="8" t="str">
        <f>'Chart of Accounts'!D70</f>
        <v>Shared</v>
      </c>
      <c r="E70" s="8">
        <f>SUMIF('Opening Balances'!$A:$A,A70,'Opening Balances'!$C:$C)</f>
        <v>0</v>
      </c>
      <c r="F70" s="8">
        <f>SUMIF('Opening Balances'!$A:$A,A70,'Opening Balances'!$D:$D)</f>
        <v>0</v>
      </c>
      <c r="G70" s="8">
        <f>SUMIF('Journal Entries'!$D:$D,A70,'Journal Entries'!$G:$G)</f>
        <v>0</v>
      </c>
      <c r="H70" s="8">
        <f>SUMIF('Journal Entries'!$D:$D,A70,'Journal Entries'!$H:$H)</f>
        <v>0</v>
      </c>
      <c r="I70" s="8">
        <f t="shared" si="1"/>
        <v>0</v>
      </c>
      <c r="J70" s="8">
        <f t="shared" si="2"/>
        <v>0</v>
      </c>
    </row>
    <row r="71" ht="15.75" customHeight="1">
      <c r="A71" s="8">
        <f>'Chart of Accounts'!A71</f>
        <v>6040</v>
      </c>
      <c r="B71" s="8" t="str">
        <f>'Chart of Accounts'!B71</f>
        <v>Depreciation Expense</v>
      </c>
      <c r="C71" s="8" t="str">
        <f>'Chart of Accounts'!C71</f>
        <v>Expense</v>
      </c>
      <c r="D71" s="8" t="str">
        <f>'Chart of Accounts'!D71</f>
        <v>Shared</v>
      </c>
      <c r="E71" s="8">
        <f>SUMIF('Opening Balances'!$A:$A,A71,'Opening Balances'!$C:$C)</f>
        <v>0</v>
      </c>
      <c r="F71" s="8">
        <f>SUMIF('Opening Balances'!$A:$A,A71,'Opening Balances'!$D:$D)</f>
        <v>0</v>
      </c>
      <c r="G71" s="8">
        <f>SUMIF('Journal Entries'!$D:$D,A71,'Journal Entries'!$G:$G)</f>
        <v>0</v>
      </c>
      <c r="H71" s="8">
        <f>SUMIF('Journal Entries'!$D:$D,A71,'Journal Entries'!$H:$H)</f>
        <v>0</v>
      </c>
      <c r="I71" s="8">
        <f t="shared" si="1"/>
        <v>0</v>
      </c>
      <c r="J71" s="8">
        <f t="shared" si="2"/>
        <v>0</v>
      </c>
    </row>
    <row r="72" ht="15.75" customHeight="1">
      <c r="A72" s="8">
        <f>'Chart of Accounts'!A72</f>
        <v>6050</v>
      </c>
      <c r="B72" s="8" t="str">
        <f>'Chart of Accounts'!B72</f>
        <v>Bank Charges</v>
      </c>
      <c r="C72" s="8" t="str">
        <f>'Chart of Accounts'!C72</f>
        <v>Expense</v>
      </c>
      <c r="D72" s="8" t="str">
        <f>'Chart of Accounts'!D72</f>
        <v>Shared</v>
      </c>
      <c r="E72" s="8">
        <f>SUMIF('Opening Balances'!$A:$A,A72,'Opening Balances'!$C:$C)</f>
        <v>0</v>
      </c>
      <c r="F72" s="8">
        <f>SUMIF('Opening Balances'!$A:$A,A72,'Opening Balances'!$D:$D)</f>
        <v>0</v>
      </c>
      <c r="G72" s="8">
        <f>SUMIF('Journal Entries'!$D:$D,A72,'Journal Entries'!$G:$G)</f>
        <v>0</v>
      </c>
      <c r="H72" s="8">
        <f>SUMIF('Journal Entries'!$D:$D,A72,'Journal Entries'!$H:$H)</f>
        <v>0</v>
      </c>
      <c r="I72" s="8">
        <f t="shared" si="1"/>
        <v>0</v>
      </c>
      <c r="J72" s="8">
        <f t="shared" si="2"/>
        <v>0</v>
      </c>
    </row>
    <row r="73" ht="15.75" customHeight="1">
      <c r="A73" s="8">
        <f>'Chart of Accounts'!A73</f>
        <v>6060</v>
      </c>
      <c r="B73" s="8" t="str">
        <f>'Chart of Accounts'!B73</f>
        <v>Printing &amp; Stationery</v>
      </c>
      <c r="C73" s="8" t="str">
        <f>'Chart of Accounts'!C73</f>
        <v>Expense</v>
      </c>
      <c r="D73" s="8" t="str">
        <f>'Chart of Accounts'!D73</f>
        <v>Shared</v>
      </c>
      <c r="E73" s="8">
        <f>SUMIF('Opening Balances'!$A:$A,A73,'Opening Balances'!$C:$C)</f>
        <v>0</v>
      </c>
      <c r="F73" s="8">
        <f>SUMIF('Opening Balances'!$A:$A,A73,'Opening Balances'!$D:$D)</f>
        <v>0</v>
      </c>
      <c r="G73" s="8">
        <f>SUMIF('Journal Entries'!$D:$D,A73,'Journal Entries'!$G:$G)</f>
        <v>0</v>
      </c>
      <c r="H73" s="8">
        <f>SUMIF('Journal Entries'!$D:$D,A73,'Journal Entries'!$H:$H)</f>
        <v>0</v>
      </c>
      <c r="I73" s="8">
        <f t="shared" si="1"/>
        <v>0</v>
      </c>
      <c r="J73" s="8">
        <f t="shared" si="2"/>
        <v>0</v>
      </c>
    </row>
    <row r="74" ht="15.75" customHeight="1">
      <c r="A74" s="8">
        <f>'Chart of Accounts'!A74</f>
        <v>6070</v>
      </c>
      <c r="B74" s="8" t="str">
        <f>'Chart of Accounts'!B74</f>
        <v>Telephone &amp; Internet</v>
      </c>
      <c r="C74" s="8" t="str">
        <f>'Chart of Accounts'!C74</f>
        <v>Expense</v>
      </c>
      <c r="D74" s="8" t="str">
        <f>'Chart of Accounts'!D74</f>
        <v>Shared</v>
      </c>
      <c r="E74" s="8">
        <f>SUMIF('Opening Balances'!$A:$A,A74,'Opening Balances'!$C:$C)</f>
        <v>0</v>
      </c>
      <c r="F74" s="8">
        <f>SUMIF('Opening Balances'!$A:$A,A74,'Opening Balances'!$D:$D)</f>
        <v>0</v>
      </c>
      <c r="G74" s="8">
        <f>SUMIF('Journal Entries'!$D:$D,A74,'Journal Entries'!$G:$G)</f>
        <v>0</v>
      </c>
      <c r="H74" s="8">
        <f>SUMIF('Journal Entries'!$D:$D,A74,'Journal Entries'!$H:$H)</f>
        <v>0</v>
      </c>
      <c r="I74" s="8">
        <f t="shared" si="1"/>
        <v>0</v>
      </c>
      <c r="J74" s="8">
        <f t="shared" si="2"/>
        <v>0</v>
      </c>
    </row>
    <row r="75" ht="15.75" customHeight="1">
      <c r="A75" s="8">
        <f>'Chart of Accounts'!A75</f>
        <v>6080</v>
      </c>
      <c r="B75" s="8" t="str">
        <f>'Chart of Accounts'!B75</f>
        <v>Legal &amp; Professional Fees</v>
      </c>
      <c r="C75" s="8" t="str">
        <f>'Chart of Accounts'!C75</f>
        <v>Expense</v>
      </c>
      <c r="D75" s="8" t="str">
        <f>'Chart of Accounts'!D75</f>
        <v>Shared</v>
      </c>
      <c r="E75" s="8">
        <f>SUMIF('Opening Balances'!$A:$A,A75,'Opening Balances'!$C:$C)</f>
        <v>0</v>
      </c>
      <c r="F75" s="8">
        <f>SUMIF('Opening Balances'!$A:$A,A75,'Opening Balances'!$D:$D)</f>
        <v>0</v>
      </c>
      <c r="G75" s="8">
        <f>SUMIF('Journal Entries'!$D:$D,A75,'Journal Entries'!$G:$G)</f>
        <v>0</v>
      </c>
      <c r="H75" s="8">
        <f>SUMIF('Journal Entries'!$D:$D,A75,'Journal Entries'!$H:$H)</f>
        <v>0</v>
      </c>
      <c r="I75" s="8">
        <f t="shared" si="1"/>
        <v>0</v>
      </c>
      <c r="J75" s="8">
        <f t="shared" si="2"/>
        <v>0</v>
      </c>
    </row>
    <row r="76" ht="15.75" customHeight="1">
      <c r="A76" s="8">
        <f>'Chart of Accounts'!A76</f>
        <v>6090</v>
      </c>
      <c r="B76" s="8" t="str">
        <f>'Chart of Accounts'!B76</f>
        <v>Audit Fee</v>
      </c>
      <c r="C76" s="8" t="str">
        <f>'Chart of Accounts'!C76</f>
        <v>Expense</v>
      </c>
      <c r="D76" s="8" t="str">
        <f>'Chart of Accounts'!D76</f>
        <v>Shared</v>
      </c>
      <c r="E76" s="8">
        <f>SUMIF('Opening Balances'!$A:$A,A76,'Opening Balances'!$C:$C)</f>
        <v>0</v>
      </c>
      <c r="F76" s="8">
        <f>SUMIF('Opening Balances'!$A:$A,A76,'Opening Balances'!$D:$D)</f>
        <v>0</v>
      </c>
      <c r="G76" s="8">
        <f>SUMIF('Journal Entries'!$D:$D,A76,'Journal Entries'!$G:$G)</f>
        <v>0</v>
      </c>
      <c r="H76" s="8">
        <f>SUMIF('Journal Entries'!$D:$D,A76,'Journal Entries'!$H:$H)</f>
        <v>0</v>
      </c>
      <c r="I76" s="8">
        <f t="shared" si="1"/>
        <v>0</v>
      </c>
      <c r="J76" s="8">
        <f t="shared" si="2"/>
        <v>0</v>
      </c>
    </row>
    <row r="77" ht="15.75" customHeight="1">
      <c r="A77" s="8">
        <f>'Chart of Accounts'!A77</f>
        <v>6100</v>
      </c>
      <c r="B77" s="8" t="str">
        <f>'Chart of Accounts'!B77</f>
        <v>Repair &amp; Maintenance</v>
      </c>
      <c r="C77" s="8" t="str">
        <f>'Chart of Accounts'!C77</f>
        <v>Expense</v>
      </c>
      <c r="D77" s="8" t="str">
        <f>'Chart of Accounts'!D77</f>
        <v>Shared</v>
      </c>
      <c r="E77" s="8">
        <f>SUMIF('Opening Balances'!$A:$A,A77,'Opening Balances'!$C:$C)</f>
        <v>0</v>
      </c>
      <c r="F77" s="8">
        <f>SUMIF('Opening Balances'!$A:$A,A77,'Opening Balances'!$D:$D)</f>
        <v>0</v>
      </c>
      <c r="G77" s="8">
        <f>SUMIF('Journal Entries'!$D:$D,A77,'Journal Entries'!$G:$G)</f>
        <v>0</v>
      </c>
      <c r="H77" s="8">
        <f>SUMIF('Journal Entries'!$D:$D,A77,'Journal Entries'!$H:$H)</f>
        <v>0</v>
      </c>
      <c r="I77" s="8">
        <f t="shared" si="1"/>
        <v>0</v>
      </c>
      <c r="J77" s="8">
        <f t="shared" si="2"/>
        <v>0</v>
      </c>
    </row>
    <row r="78" ht="15.75" customHeight="1">
      <c r="A78" s="8">
        <f>'Chart of Accounts'!A78</f>
        <v>6110</v>
      </c>
      <c r="B78" s="8" t="str">
        <f>'Chart of Accounts'!B78</f>
        <v>Insurance Expense</v>
      </c>
      <c r="C78" s="8" t="str">
        <f>'Chart of Accounts'!C78</f>
        <v>Expense</v>
      </c>
      <c r="D78" s="8" t="str">
        <f>'Chart of Accounts'!D78</f>
        <v>Shared</v>
      </c>
      <c r="E78" s="8">
        <f>SUMIF('Opening Balances'!$A:$A,A78,'Opening Balances'!$C:$C)</f>
        <v>0</v>
      </c>
      <c r="F78" s="8">
        <f>SUMIF('Opening Balances'!$A:$A,A78,'Opening Balances'!$D:$D)</f>
        <v>0</v>
      </c>
      <c r="G78" s="8">
        <f>SUMIF('Journal Entries'!$D:$D,A78,'Journal Entries'!$G:$G)</f>
        <v>0</v>
      </c>
      <c r="H78" s="8">
        <f>SUMIF('Journal Entries'!$D:$D,A78,'Journal Entries'!$H:$H)</f>
        <v>0</v>
      </c>
      <c r="I78" s="8">
        <f t="shared" si="1"/>
        <v>0</v>
      </c>
      <c r="J78" s="8">
        <f t="shared" si="2"/>
        <v>0</v>
      </c>
    </row>
    <row r="79" ht="15.75" customHeight="1">
      <c r="A79" s="8">
        <f>'Chart of Accounts'!A79</f>
        <v>6120</v>
      </c>
      <c r="B79" s="8" t="str">
        <f>'Chart of Accounts'!B79</f>
        <v>Vehicle Running Expense</v>
      </c>
      <c r="C79" s="8" t="str">
        <f>'Chart of Accounts'!C79</f>
        <v>Expense</v>
      </c>
      <c r="D79" s="8" t="str">
        <f>'Chart of Accounts'!D79</f>
        <v>Shared</v>
      </c>
      <c r="E79" s="8">
        <f>SUMIF('Opening Balances'!$A:$A,A79,'Opening Balances'!$C:$C)</f>
        <v>0</v>
      </c>
      <c r="F79" s="8">
        <f>SUMIF('Opening Balances'!$A:$A,A79,'Opening Balances'!$D:$D)</f>
        <v>0</v>
      </c>
      <c r="G79" s="8">
        <f>SUMIF('Journal Entries'!$D:$D,A79,'Journal Entries'!$G:$G)</f>
        <v>0</v>
      </c>
      <c r="H79" s="8">
        <f>SUMIF('Journal Entries'!$D:$D,A79,'Journal Entries'!$H:$H)</f>
        <v>0</v>
      </c>
      <c r="I79" s="8">
        <f t="shared" si="1"/>
        <v>0</v>
      </c>
      <c r="J79" s="8">
        <f t="shared" si="2"/>
        <v>0</v>
      </c>
    </row>
    <row r="80" ht="15.75" customHeight="1">
      <c r="A80" s="8">
        <f>'Chart of Accounts'!A80</f>
        <v>6130</v>
      </c>
      <c r="B80" s="8" t="str">
        <f>'Chart of Accounts'!B80</f>
        <v>Software &amp; AMC Expense</v>
      </c>
      <c r="C80" s="8" t="str">
        <f>'Chart of Accounts'!C80</f>
        <v>Expense</v>
      </c>
      <c r="D80" s="8" t="str">
        <f>'Chart of Accounts'!D80</f>
        <v>Shared</v>
      </c>
      <c r="E80" s="8">
        <f>SUMIF('Opening Balances'!$A:$A,A80,'Opening Balances'!$C:$C)</f>
        <v>0</v>
      </c>
      <c r="F80" s="8">
        <f>SUMIF('Opening Balances'!$A:$A,A80,'Opening Balances'!$D:$D)</f>
        <v>0</v>
      </c>
      <c r="G80" s="8">
        <f>SUMIF('Journal Entries'!$D:$D,A80,'Journal Entries'!$G:$G)</f>
        <v>0</v>
      </c>
      <c r="H80" s="8">
        <f>SUMIF('Journal Entries'!$D:$D,A80,'Journal Entries'!$H:$H)</f>
        <v>0</v>
      </c>
      <c r="I80" s="8">
        <f t="shared" si="1"/>
        <v>0</v>
      </c>
      <c r="J80" s="8">
        <f t="shared" si="2"/>
        <v>0</v>
      </c>
    </row>
    <row r="81" ht="15.75" customHeight="1">
      <c r="A81" s="8">
        <f>'Chart of Accounts'!A81</f>
        <v>6140</v>
      </c>
      <c r="B81" s="8" t="str">
        <f>'Chart of Accounts'!B81</f>
        <v>Entertainment Expense</v>
      </c>
      <c r="C81" s="8" t="str">
        <f>'Chart of Accounts'!C81</f>
        <v>Expense</v>
      </c>
      <c r="D81" s="8" t="str">
        <f>'Chart of Accounts'!D81</f>
        <v>Shared</v>
      </c>
      <c r="E81" s="8">
        <f>SUMIF('Opening Balances'!$A:$A,A81,'Opening Balances'!$C:$C)</f>
        <v>0</v>
      </c>
      <c r="F81" s="8">
        <f>SUMIF('Opening Balances'!$A:$A,A81,'Opening Balances'!$D:$D)</f>
        <v>0</v>
      </c>
      <c r="G81" s="8">
        <f>SUMIF('Journal Entries'!$D:$D,A81,'Journal Entries'!$G:$G)</f>
        <v>0</v>
      </c>
      <c r="H81" s="8">
        <f>SUMIF('Journal Entries'!$D:$D,A81,'Journal Entries'!$H:$H)</f>
        <v>0</v>
      </c>
      <c r="I81" s="8">
        <f t="shared" si="1"/>
        <v>0</v>
      </c>
      <c r="J81" s="8">
        <f t="shared" si="2"/>
        <v>0</v>
      </c>
    </row>
    <row r="82" ht="15.75" customHeight="1">
      <c r="A82" s="8">
        <f>'Chart of Accounts'!A82</f>
        <v>6200</v>
      </c>
      <c r="B82" s="8" t="str">
        <f>'Chart of Accounts'!B82</f>
        <v>Salary &amp; Commission - Sales</v>
      </c>
      <c r="C82" s="8" t="str">
        <f>'Chart of Accounts'!C82</f>
        <v>Expense</v>
      </c>
      <c r="D82" s="8" t="str">
        <f>'Chart of Accounts'!D82</f>
        <v>Shared</v>
      </c>
      <c r="E82" s="8">
        <f>SUMIF('Opening Balances'!$A:$A,A82,'Opening Balances'!$C:$C)</f>
        <v>0</v>
      </c>
      <c r="F82" s="8">
        <f>SUMIF('Opening Balances'!$A:$A,A82,'Opening Balances'!$D:$D)</f>
        <v>0</v>
      </c>
      <c r="G82" s="8">
        <f>SUMIF('Journal Entries'!$D:$D,A82,'Journal Entries'!$G:$G)</f>
        <v>0</v>
      </c>
      <c r="H82" s="8">
        <f>SUMIF('Journal Entries'!$D:$D,A82,'Journal Entries'!$H:$H)</f>
        <v>0</v>
      </c>
      <c r="I82" s="8">
        <f t="shared" si="1"/>
        <v>0</v>
      </c>
      <c r="J82" s="8">
        <f t="shared" si="2"/>
        <v>0</v>
      </c>
    </row>
    <row r="83" ht="15.75" customHeight="1">
      <c r="A83" s="8">
        <f>'Chart of Accounts'!A83</f>
        <v>6210</v>
      </c>
      <c r="B83" s="8" t="str">
        <f>'Chart of Accounts'!B83</f>
        <v>Advertising &amp; Promotion</v>
      </c>
      <c r="C83" s="8" t="str">
        <f>'Chart of Accounts'!C83</f>
        <v>Expense</v>
      </c>
      <c r="D83" s="8" t="str">
        <f>'Chart of Accounts'!D83</f>
        <v>Shared</v>
      </c>
      <c r="E83" s="8">
        <f>SUMIF('Opening Balances'!$A:$A,A83,'Opening Balances'!$C:$C)</f>
        <v>0</v>
      </c>
      <c r="F83" s="8">
        <f>SUMIF('Opening Balances'!$A:$A,A83,'Opening Balances'!$D:$D)</f>
        <v>0</v>
      </c>
      <c r="G83" s="8">
        <f>SUMIF('Journal Entries'!$D:$D,A83,'Journal Entries'!$G:$G)</f>
        <v>0</v>
      </c>
      <c r="H83" s="8">
        <f>SUMIF('Journal Entries'!$D:$D,A83,'Journal Entries'!$H:$H)</f>
        <v>0</v>
      </c>
      <c r="I83" s="8">
        <f t="shared" si="1"/>
        <v>0</v>
      </c>
      <c r="J83" s="8">
        <f t="shared" si="2"/>
        <v>0</v>
      </c>
    </row>
    <row r="84" ht="15.75" customHeight="1">
      <c r="A84" s="8">
        <f>'Chart of Accounts'!A84</f>
        <v>6220</v>
      </c>
      <c r="B84" s="8" t="str">
        <f>'Chart of Accounts'!B84</f>
        <v>Freight Outward / Delivery Expense</v>
      </c>
      <c r="C84" s="8" t="str">
        <f>'Chart of Accounts'!C84</f>
        <v>Expense</v>
      </c>
      <c r="D84" s="8" t="str">
        <f>'Chart of Accounts'!D84</f>
        <v>Shared</v>
      </c>
      <c r="E84" s="8">
        <f>SUMIF('Opening Balances'!$A:$A,A84,'Opening Balances'!$C:$C)</f>
        <v>0</v>
      </c>
      <c r="F84" s="8">
        <f>SUMIF('Opening Balances'!$A:$A,A84,'Opening Balances'!$D:$D)</f>
        <v>0</v>
      </c>
      <c r="G84" s="8">
        <f>SUMIF('Journal Entries'!$D:$D,A84,'Journal Entries'!$G:$G)</f>
        <v>0</v>
      </c>
      <c r="H84" s="8">
        <f>SUMIF('Journal Entries'!$D:$D,A84,'Journal Entries'!$H:$H)</f>
        <v>0</v>
      </c>
      <c r="I84" s="8">
        <f t="shared" si="1"/>
        <v>0</v>
      </c>
      <c r="J84" s="8">
        <f t="shared" si="2"/>
        <v>0</v>
      </c>
    </row>
    <row r="85" ht="15.75" customHeight="1">
      <c r="A85" s="8">
        <f>'Chart of Accounts'!A85</f>
        <v>6230</v>
      </c>
      <c r="B85" s="8" t="str">
        <f>'Chart of Accounts'!B85</f>
        <v>Travel Expense</v>
      </c>
      <c r="C85" s="8" t="str">
        <f>'Chart of Accounts'!C85</f>
        <v>Expense</v>
      </c>
      <c r="D85" s="8" t="str">
        <f>'Chart of Accounts'!D85</f>
        <v>Shared</v>
      </c>
      <c r="E85" s="8">
        <f>SUMIF('Opening Balances'!$A:$A,A85,'Opening Balances'!$C:$C)</f>
        <v>0</v>
      </c>
      <c r="F85" s="8">
        <f>SUMIF('Opening Balances'!$A:$A,A85,'Opening Balances'!$D:$D)</f>
        <v>0</v>
      </c>
      <c r="G85" s="8">
        <f>SUMIF('Journal Entries'!$D:$D,A85,'Journal Entries'!$G:$G)</f>
        <v>0</v>
      </c>
      <c r="H85" s="8">
        <f>SUMIF('Journal Entries'!$D:$D,A85,'Journal Entries'!$H:$H)</f>
        <v>0</v>
      </c>
      <c r="I85" s="8">
        <f t="shared" si="1"/>
        <v>0</v>
      </c>
      <c r="J85" s="8">
        <f t="shared" si="2"/>
        <v>0</v>
      </c>
    </row>
    <row r="86" ht="15.75" customHeight="1">
      <c r="A86" s="8">
        <f>'Chart of Accounts'!A86</f>
        <v>6300</v>
      </c>
      <c r="B86" s="8" t="str">
        <f>'Chart of Accounts'!B86</f>
        <v>Interest on Loan</v>
      </c>
      <c r="C86" s="8" t="str">
        <f>'Chart of Accounts'!C86</f>
        <v>Expense</v>
      </c>
      <c r="D86" s="8" t="str">
        <f>'Chart of Accounts'!D86</f>
        <v>Shared</v>
      </c>
      <c r="E86" s="8">
        <f>SUMIF('Opening Balances'!$A:$A,A86,'Opening Balances'!$C:$C)</f>
        <v>0</v>
      </c>
      <c r="F86" s="8">
        <f>SUMIF('Opening Balances'!$A:$A,A86,'Opening Balances'!$D:$D)</f>
        <v>0</v>
      </c>
      <c r="G86" s="8">
        <f>SUMIF('Journal Entries'!$D:$D,A86,'Journal Entries'!$G:$G)</f>
        <v>0</v>
      </c>
      <c r="H86" s="8">
        <f>SUMIF('Journal Entries'!$D:$D,A86,'Journal Entries'!$H:$H)</f>
        <v>0</v>
      </c>
      <c r="I86" s="8">
        <f t="shared" si="1"/>
        <v>0</v>
      </c>
      <c r="J86" s="8">
        <f t="shared" si="2"/>
        <v>0</v>
      </c>
    </row>
    <row r="87" ht="15.75" customHeight="1">
      <c r="A87" s="8">
        <f>'Chart of Accounts'!A87</f>
        <v>6310</v>
      </c>
      <c r="B87" s="8" t="str">
        <f>'Chart of Accounts'!B87</f>
        <v>Foreign Exchange Loss</v>
      </c>
      <c r="C87" s="8" t="str">
        <f>'Chart of Accounts'!C87</f>
        <v>Expense</v>
      </c>
      <c r="D87" s="8" t="str">
        <f>'Chart of Accounts'!D87</f>
        <v>Shared</v>
      </c>
      <c r="E87" s="8">
        <f>SUMIF('Opening Balances'!$A:$A,A87,'Opening Balances'!$C:$C)</f>
        <v>0</v>
      </c>
      <c r="F87" s="8">
        <f>SUMIF('Opening Balances'!$A:$A,A87,'Opening Balances'!$D:$D)</f>
        <v>0</v>
      </c>
      <c r="G87" s="8">
        <f>SUMIF('Journal Entries'!$D:$D,A87,'Journal Entries'!$G:$G)</f>
        <v>0</v>
      </c>
      <c r="H87" s="8">
        <f>SUMIF('Journal Entries'!$D:$D,A87,'Journal Entries'!$H:$H)</f>
        <v>0</v>
      </c>
      <c r="I87" s="8">
        <f t="shared" si="1"/>
        <v>0</v>
      </c>
      <c r="J87" s="8">
        <f t="shared" si="2"/>
        <v>0</v>
      </c>
    </row>
    <row r="88" ht="15.75" customHeight="1">
      <c r="A88" s="8">
        <f>'Chart of Accounts'!A88</f>
        <v>7000</v>
      </c>
      <c r="B88" s="8" t="str">
        <f>'Chart of Accounts'!B88</f>
        <v>Interest Income</v>
      </c>
      <c r="C88" s="8" t="str">
        <f>'Chart of Accounts'!C88</f>
        <v>Other Income</v>
      </c>
      <c r="D88" s="8" t="str">
        <f>'Chart of Accounts'!D88</f>
        <v>Shared</v>
      </c>
      <c r="E88" s="8">
        <f>SUMIF('Opening Balances'!$A:$A,A88,'Opening Balances'!$C:$C)</f>
        <v>0</v>
      </c>
      <c r="F88" s="8">
        <f>SUMIF('Opening Balances'!$A:$A,A88,'Opening Balances'!$D:$D)</f>
        <v>0</v>
      </c>
      <c r="G88" s="8">
        <f>SUMIF('Journal Entries'!$D:$D,A88,'Journal Entries'!$G:$G)</f>
        <v>0</v>
      </c>
      <c r="H88" s="8">
        <f>SUMIF('Journal Entries'!$D:$D,A88,'Journal Entries'!$H:$H)</f>
        <v>0</v>
      </c>
      <c r="I88" s="8">
        <f t="shared" si="1"/>
        <v>0</v>
      </c>
      <c r="J88" s="8">
        <f t="shared" si="2"/>
        <v>0</v>
      </c>
    </row>
    <row r="89" ht="15.75" customHeight="1">
      <c r="A89" s="8">
        <f>'Chart of Accounts'!A89</f>
        <v>7010</v>
      </c>
      <c r="B89" s="8" t="str">
        <f>'Chart of Accounts'!B89</f>
        <v>Foreign Exchange Gain</v>
      </c>
      <c r="C89" s="8" t="str">
        <f>'Chart of Accounts'!C89</f>
        <v>Other Income</v>
      </c>
      <c r="D89" s="8" t="str">
        <f>'Chart of Accounts'!D89</f>
        <v>Shared</v>
      </c>
      <c r="E89" s="8">
        <f>SUMIF('Opening Balances'!$A:$A,A89,'Opening Balances'!$C:$C)</f>
        <v>0</v>
      </c>
      <c r="F89" s="8">
        <f>SUMIF('Opening Balances'!$A:$A,A89,'Opening Balances'!$D:$D)</f>
        <v>0</v>
      </c>
      <c r="G89" s="8">
        <f>SUMIF('Journal Entries'!$D:$D,A89,'Journal Entries'!$G:$G)</f>
        <v>0</v>
      </c>
      <c r="H89" s="8">
        <f>SUMIF('Journal Entries'!$D:$D,A89,'Journal Entries'!$H:$H)</f>
        <v>0</v>
      </c>
      <c r="I89" s="8">
        <f t="shared" si="1"/>
        <v>0</v>
      </c>
      <c r="J89" s="8">
        <f t="shared" si="2"/>
        <v>0</v>
      </c>
    </row>
    <row r="90" ht="15.75" customHeight="1">
      <c r="A90" s="8">
        <f>'Chart of Accounts'!A90</f>
        <v>7020</v>
      </c>
      <c r="B90" s="8" t="str">
        <f>'Chart of Accounts'!B90</f>
        <v>Miscellaneous Income</v>
      </c>
      <c r="C90" s="8" t="str">
        <f>'Chart of Accounts'!C90</f>
        <v>Other Income</v>
      </c>
      <c r="D90" s="8" t="str">
        <f>'Chart of Accounts'!D90</f>
        <v>Shared</v>
      </c>
      <c r="E90" s="8">
        <f>SUMIF('Opening Balances'!$A:$A,A90,'Opening Balances'!$C:$C)</f>
        <v>0</v>
      </c>
      <c r="F90" s="8">
        <f>SUMIF('Opening Balances'!$A:$A,A90,'Opening Balances'!$D:$D)</f>
        <v>0</v>
      </c>
      <c r="G90" s="8">
        <f>SUMIF('Journal Entries'!$D:$D,A90,'Journal Entries'!$G:$G)</f>
        <v>0</v>
      </c>
      <c r="H90" s="8">
        <f>SUMIF('Journal Entries'!$D:$D,A90,'Journal Entries'!$H:$H)</f>
        <v>0</v>
      </c>
      <c r="I90" s="8">
        <f t="shared" si="1"/>
        <v>0</v>
      </c>
      <c r="J90" s="8">
        <f t="shared" si="2"/>
        <v>0</v>
      </c>
    </row>
    <row r="91" ht="15.75" customHeight="1"/>
    <row r="92" ht="15.75" customHeight="1">
      <c r="B92" s="2" t="s">
        <v>94</v>
      </c>
      <c r="I92" s="2">
        <f t="shared" ref="I92:J92" si="3">SUM(I2:I90)</f>
        <v>804000</v>
      </c>
      <c r="J92" s="2">
        <f t="shared" si="3"/>
        <v>804000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5" width="16.0"/>
    <col customWidth="1" min="6" max="26" width="8.71"/>
  </cols>
  <sheetData>
    <row r="1">
      <c r="A1" s="2" t="s">
        <v>301</v>
      </c>
      <c r="B1" s="29">
        <f>TODAY()</f>
        <v>46279</v>
      </c>
    </row>
    <row r="3" ht="33.75" customHeight="1">
      <c r="A3" s="3" t="s">
        <v>1</v>
      </c>
      <c r="B3" s="3" t="s">
        <v>3</v>
      </c>
      <c r="C3" s="3" t="s">
        <v>5</v>
      </c>
      <c r="D3" s="3" t="s">
        <v>24</v>
      </c>
      <c r="E3" s="3" t="s">
        <v>28</v>
      </c>
    </row>
    <row r="4">
      <c r="A4" s="8">
        <f>'General Ledger'!A2</f>
        <v>1000</v>
      </c>
      <c r="B4" s="8" t="str">
        <f>'General Ledger'!B2</f>
        <v>Cash in Hand</v>
      </c>
      <c r="C4" s="8" t="str">
        <f>'General Ledger'!C2</f>
        <v>Asset</v>
      </c>
      <c r="D4" s="8">
        <f>'General Ledger'!I2</f>
        <v>0</v>
      </c>
      <c r="E4" s="8">
        <f>'General Ledger'!J2</f>
        <v>0</v>
      </c>
    </row>
    <row r="5">
      <c r="A5" s="8">
        <f>'General Ledger'!A3</f>
        <v>1005</v>
      </c>
      <c r="B5" s="8" t="str">
        <f>'General Ledger'!B3</f>
        <v>Petty Cash</v>
      </c>
      <c r="C5" s="8" t="str">
        <f>'General Ledger'!C3</f>
        <v>Asset</v>
      </c>
      <c r="D5" s="8">
        <f>'General Ledger'!I3</f>
        <v>0</v>
      </c>
      <c r="E5" s="8">
        <f>'General Ledger'!J3</f>
        <v>0</v>
      </c>
    </row>
    <row r="6">
      <c r="A6" s="8">
        <f>'General Ledger'!A4</f>
        <v>1010</v>
      </c>
      <c r="B6" s="8" t="str">
        <f>'General Ledger'!B4</f>
        <v>Bank Account - Main</v>
      </c>
      <c r="C6" s="8" t="str">
        <f>'General Ledger'!C4</f>
        <v>Asset</v>
      </c>
      <c r="D6" s="8">
        <f>'General Ledger'!I4</f>
        <v>496200</v>
      </c>
      <c r="E6" s="8">
        <f>'General Ledger'!J4</f>
        <v>0</v>
      </c>
    </row>
    <row r="7">
      <c r="A7" s="8">
        <f>'General Ledger'!A5</f>
        <v>1011</v>
      </c>
      <c r="B7" s="8" t="str">
        <f>'General Ledger'!B5</f>
        <v>Bank Account - Secondary</v>
      </c>
      <c r="C7" s="8" t="str">
        <f>'General Ledger'!C5</f>
        <v>Asset</v>
      </c>
      <c r="D7" s="8">
        <f>'General Ledger'!I5</f>
        <v>0</v>
      </c>
      <c r="E7" s="8">
        <f>'General Ledger'!J5</f>
        <v>0</v>
      </c>
    </row>
    <row r="8">
      <c r="A8" s="8">
        <f>'General Ledger'!A6</f>
        <v>1020</v>
      </c>
      <c r="B8" s="8" t="str">
        <f>'General Ledger'!B6</f>
        <v>L/C Margin Deposit</v>
      </c>
      <c r="C8" s="8" t="str">
        <f>'General Ledger'!C6</f>
        <v>Asset</v>
      </c>
      <c r="D8" s="8">
        <f>'General Ledger'!I6</f>
        <v>0</v>
      </c>
      <c r="E8" s="8">
        <f>'General Ledger'!J6</f>
        <v>0</v>
      </c>
    </row>
    <row r="9">
      <c r="A9" s="8">
        <f>'General Ledger'!A7</f>
        <v>1100</v>
      </c>
      <c r="B9" s="8" t="str">
        <f>'General Ledger'!B7</f>
        <v>Accounts Receivable - Local</v>
      </c>
      <c r="C9" s="8" t="str">
        <f>'General Ledger'!C7</f>
        <v>Asset</v>
      </c>
      <c r="D9" s="8">
        <f>'General Ledger'!I7</f>
        <v>4000</v>
      </c>
      <c r="E9" s="8">
        <f>'General Ledger'!J7</f>
        <v>0</v>
      </c>
    </row>
    <row r="10">
      <c r="A10" s="8">
        <f>'General Ledger'!A8</f>
        <v>1101</v>
      </c>
      <c r="B10" s="8" t="str">
        <f>'General Ledger'!B8</f>
        <v>Accounts Receivable - Export</v>
      </c>
      <c r="C10" s="8" t="str">
        <f>'General Ledger'!C8</f>
        <v>Asset</v>
      </c>
      <c r="D10" s="8">
        <f>'General Ledger'!I8</f>
        <v>0</v>
      </c>
      <c r="E10" s="8">
        <f>'General Ledger'!J8</f>
        <v>0</v>
      </c>
    </row>
    <row r="11">
      <c r="A11" s="8">
        <f>'General Ledger'!A9</f>
        <v>1110</v>
      </c>
      <c r="B11" s="8" t="str">
        <f>'General Ledger'!B9</f>
        <v>Advance to Suppliers</v>
      </c>
      <c r="C11" s="8" t="str">
        <f>'General Ledger'!C9</f>
        <v>Asset</v>
      </c>
      <c r="D11" s="8">
        <f>'General Ledger'!I9</f>
        <v>0</v>
      </c>
      <c r="E11" s="8">
        <f>'General Ledger'!J9</f>
        <v>0</v>
      </c>
    </row>
    <row r="12">
      <c r="A12" s="8">
        <f>'General Ledger'!A10</f>
        <v>1120</v>
      </c>
      <c r="B12" s="8" t="str">
        <f>'General Ledger'!B10</f>
        <v>Advance Income Tax (AIT)</v>
      </c>
      <c r="C12" s="8" t="str">
        <f>'General Ledger'!C10</f>
        <v>Asset</v>
      </c>
      <c r="D12" s="8">
        <f>'General Ledger'!I10</f>
        <v>0</v>
      </c>
      <c r="E12" s="8">
        <f>'General Ledger'!J10</f>
        <v>0</v>
      </c>
    </row>
    <row r="13">
      <c r="A13" s="8">
        <f>'General Ledger'!A11</f>
        <v>1130</v>
      </c>
      <c r="B13" s="8" t="str">
        <f>'General Ledger'!B11</f>
        <v>VAT Current Account (Input VAT)</v>
      </c>
      <c r="C13" s="8" t="str">
        <f>'General Ledger'!C11</f>
        <v>Asset</v>
      </c>
      <c r="D13" s="8">
        <f>'General Ledger'!I11</f>
        <v>0</v>
      </c>
      <c r="E13" s="8">
        <f>'General Ledger'!J11</f>
        <v>0</v>
      </c>
    </row>
    <row r="14">
      <c r="A14" s="8">
        <f>'General Ledger'!A12</f>
        <v>1140</v>
      </c>
      <c r="B14" s="8" t="str">
        <f>'General Ledger'!B12</f>
        <v>Advance to Employees</v>
      </c>
      <c r="C14" s="8" t="str">
        <f>'General Ledger'!C12</f>
        <v>Asset</v>
      </c>
      <c r="D14" s="8">
        <f>'General Ledger'!I12</f>
        <v>0</v>
      </c>
      <c r="E14" s="8">
        <f>'General Ledger'!J12</f>
        <v>0</v>
      </c>
    </row>
    <row r="15">
      <c r="A15" s="8">
        <f>'General Ledger'!A13</f>
        <v>1150</v>
      </c>
      <c r="B15" s="8" t="str">
        <f>'General Ledger'!B13</f>
        <v>Prepaid Expenses</v>
      </c>
      <c r="C15" s="8" t="str">
        <f>'General Ledger'!C13</f>
        <v>Asset</v>
      </c>
      <c r="D15" s="8">
        <f>'General Ledger'!I13</f>
        <v>0</v>
      </c>
      <c r="E15" s="8">
        <f>'General Ledger'!J13</f>
        <v>0</v>
      </c>
    </row>
    <row r="16">
      <c r="A16" s="8">
        <f>'General Ledger'!A14</f>
        <v>1200</v>
      </c>
      <c r="B16" s="8" t="str">
        <f>'General Ledger'!B14</f>
        <v>Inventory - Imported Goods</v>
      </c>
      <c r="C16" s="8" t="str">
        <f>'General Ledger'!C14</f>
        <v>Asset</v>
      </c>
      <c r="D16" s="8">
        <f>'General Ledger'!I14</f>
        <v>100000</v>
      </c>
      <c r="E16" s="8">
        <f>'General Ledger'!J14</f>
        <v>0</v>
      </c>
    </row>
    <row r="17">
      <c r="A17" s="8">
        <f>'General Ledger'!A15</f>
        <v>1210</v>
      </c>
      <c r="B17" s="8" t="str">
        <f>'General Ledger'!B15</f>
        <v>Inventory - Raw Materials</v>
      </c>
      <c r="C17" s="8" t="str">
        <f>'General Ledger'!C15</f>
        <v>Asset</v>
      </c>
      <c r="D17" s="8">
        <f>'General Ledger'!I15</f>
        <v>78000</v>
      </c>
      <c r="E17" s="8">
        <f>'General Ledger'!J15</f>
        <v>0</v>
      </c>
    </row>
    <row r="18">
      <c r="A18" s="8">
        <f>'General Ledger'!A16</f>
        <v>1220</v>
      </c>
      <c r="B18" s="8" t="str">
        <f>'General Ledger'!B16</f>
        <v>Inventory - WIP</v>
      </c>
      <c r="C18" s="8" t="str">
        <f>'General Ledger'!C16</f>
        <v>Asset</v>
      </c>
      <c r="D18" s="8">
        <f>'General Ledger'!I16</f>
        <v>11400</v>
      </c>
      <c r="E18" s="8">
        <f>'General Ledger'!J16</f>
        <v>0</v>
      </c>
    </row>
    <row r="19">
      <c r="A19" s="8">
        <f>'General Ledger'!A17</f>
        <v>1230</v>
      </c>
      <c r="B19" s="8" t="str">
        <f>'General Ledger'!B17</f>
        <v>Inventory - Finished Goods</v>
      </c>
      <c r="C19" s="8" t="str">
        <f>'General Ledger'!C17</f>
        <v>Asset</v>
      </c>
      <c r="D19" s="8">
        <f>'General Ledger'!I17</f>
        <v>2400</v>
      </c>
      <c r="E19" s="8">
        <f>'General Ledger'!J17</f>
        <v>0</v>
      </c>
    </row>
    <row r="20">
      <c r="A20" s="8">
        <f>'General Ledger'!A18</f>
        <v>1240</v>
      </c>
      <c r="B20" s="8" t="str">
        <f>'General Ledger'!B18</f>
        <v>Inventory - Packaging Materials</v>
      </c>
      <c r="C20" s="8" t="str">
        <f>'General Ledger'!C18</f>
        <v>Asset</v>
      </c>
      <c r="D20" s="8">
        <f>'General Ledger'!I18</f>
        <v>19600</v>
      </c>
      <c r="E20" s="8">
        <f>'General Ledger'!J18</f>
        <v>0</v>
      </c>
    </row>
    <row r="21" ht="15.75" customHeight="1">
      <c r="A21" s="8">
        <f>'General Ledger'!A19</f>
        <v>1250</v>
      </c>
      <c r="B21" s="8" t="str">
        <f>'General Ledger'!B19</f>
        <v>Inventory - Trading Stock</v>
      </c>
      <c r="C21" s="8" t="str">
        <f>'General Ledger'!C19</f>
        <v>Asset</v>
      </c>
      <c r="D21" s="8">
        <f>'General Ledger'!I19</f>
        <v>90000</v>
      </c>
      <c r="E21" s="8">
        <f>'General Ledger'!J19</f>
        <v>0</v>
      </c>
    </row>
    <row r="22" ht="15.75" customHeight="1">
      <c r="A22" s="8">
        <f>'General Ledger'!A20</f>
        <v>1260</v>
      </c>
      <c r="B22" s="8" t="str">
        <f>'General Ledger'!B20</f>
        <v>Goods in Transit</v>
      </c>
      <c r="C22" s="8" t="str">
        <f>'General Ledger'!C20</f>
        <v>Asset</v>
      </c>
      <c r="D22" s="8">
        <f>'General Ledger'!I20</f>
        <v>0</v>
      </c>
      <c r="E22" s="8">
        <f>'General Ledger'!J20</f>
        <v>0</v>
      </c>
    </row>
    <row r="23" ht="15.75" customHeight="1">
      <c r="A23" s="8">
        <f>'General Ledger'!A21</f>
        <v>1300</v>
      </c>
      <c r="B23" s="8" t="str">
        <f>'General Ledger'!B21</f>
        <v>Land &amp; Building</v>
      </c>
      <c r="C23" s="8" t="str">
        <f>'General Ledger'!C21</f>
        <v>Asset</v>
      </c>
      <c r="D23" s="8">
        <f>'General Ledger'!I21</f>
        <v>0</v>
      </c>
      <c r="E23" s="8">
        <f>'General Ledger'!J21</f>
        <v>0</v>
      </c>
    </row>
    <row r="24" ht="15.75" customHeight="1">
      <c r="A24" s="8">
        <f>'General Ledger'!A22</f>
        <v>1310</v>
      </c>
      <c r="B24" s="8" t="str">
        <f>'General Ledger'!B22</f>
        <v>Accumulated Depreciation - Building</v>
      </c>
      <c r="C24" s="8" t="str">
        <f>'General Ledger'!C22</f>
        <v>Asset</v>
      </c>
      <c r="D24" s="8">
        <f>'General Ledger'!I22</f>
        <v>0</v>
      </c>
      <c r="E24" s="8">
        <f>'General Ledger'!J22</f>
        <v>0</v>
      </c>
    </row>
    <row r="25" ht="15.75" customHeight="1">
      <c r="A25" s="8">
        <f>'General Ledger'!A23</f>
        <v>1320</v>
      </c>
      <c r="B25" s="8" t="str">
        <f>'General Ledger'!B23</f>
        <v>Plant &amp; Machinery</v>
      </c>
      <c r="C25" s="8" t="str">
        <f>'General Ledger'!C23</f>
        <v>Asset</v>
      </c>
      <c r="D25" s="8">
        <f>'General Ledger'!I23</f>
        <v>0</v>
      </c>
      <c r="E25" s="8">
        <f>'General Ledger'!J23</f>
        <v>0</v>
      </c>
    </row>
    <row r="26" ht="15.75" customHeight="1">
      <c r="A26" s="8">
        <f>'General Ledger'!A24</f>
        <v>1321</v>
      </c>
      <c r="B26" s="8" t="str">
        <f>'General Ledger'!B24</f>
        <v>Accumulated Depreciation - Plant &amp; Machinery</v>
      </c>
      <c r="C26" s="8" t="str">
        <f>'General Ledger'!C24</f>
        <v>Asset</v>
      </c>
      <c r="D26" s="8">
        <f>'General Ledger'!I24</f>
        <v>0</v>
      </c>
      <c r="E26" s="8">
        <f>'General Ledger'!J24</f>
        <v>0</v>
      </c>
    </row>
    <row r="27" ht="15.75" customHeight="1">
      <c r="A27" s="8">
        <f>'General Ledger'!A25</f>
        <v>1330</v>
      </c>
      <c r="B27" s="8" t="str">
        <f>'General Ledger'!B25</f>
        <v>Office Equipment</v>
      </c>
      <c r="C27" s="8" t="str">
        <f>'General Ledger'!C25</f>
        <v>Asset</v>
      </c>
      <c r="D27" s="8">
        <f>'General Ledger'!I25</f>
        <v>0</v>
      </c>
      <c r="E27" s="8">
        <f>'General Ledger'!J25</f>
        <v>0</v>
      </c>
    </row>
    <row r="28" ht="15.75" customHeight="1">
      <c r="A28" s="8">
        <f>'General Ledger'!A26</f>
        <v>1331</v>
      </c>
      <c r="B28" s="8" t="str">
        <f>'General Ledger'!B26</f>
        <v>Accumulated Depreciation - Office Equipment</v>
      </c>
      <c r="C28" s="8" t="str">
        <f>'General Ledger'!C26</f>
        <v>Asset</v>
      </c>
      <c r="D28" s="8">
        <f>'General Ledger'!I26</f>
        <v>0</v>
      </c>
      <c r="E28" s="8">
        <f>'General Ledger'!J26</f>
        <v>0</v>
      </c>
    </row>
    <row r="29" ht="15.75" customHeight="1">
      <c r="A29" s="8">
        <f>'General Ledger'!A27</f>
        <v>1340</v>
      </c>
      <c r="B29" s="8" t="str">
        <f>'General Ledger'!B27</f>
        <v>Furniture &amp; Fixtures</v>
      </c>
      <c r="C29" s="8" t="str">
        <f>'General Ledger'!C27</f>
        <v>Asset</v>
      </c>
      <c r="D29" s="8">
        <f>'General Ledger'!I27</f>
        <v>0</v>
      </c>
      <c r="E29" s="8">
        <f>'General Ledger'!J27</f>
        <v>0</v>
      </c>
    </row>
    <row r="30" ht="15.75" customHeight="1">
      <c r="A30" s="8">
        <f>'General Ledger'!A28</f>
        <v>1341</v>
      </c>
      <c r="B30" s="8" t="str">
        <f>'General Ledger'!B28</f>
        <v>Accumulated Depreciation - Furniture &amp; Fixtures</v>
      </c>
      <c r="C30" s="8" t="str">
        <f>'General Ledger'!C28</f>
        <v>Asset</v>
      </c>
      <c r="D30" s="8">
        <f>'General Ledger'!I28</f>
        <v>0</v>
      </c>
      <c r="E30" s="8">
        <f>'General Ledger'!J28</f>
        <v>0</v>
      </c>
    </row>
    <row r="31" ht="15.75" customHeight="1">
      <c r="A31" s="8">
        <f>'General Ledger'!A29</f>
        <v>1350</v>
      </c>
      <c r="B31" s="8" t="str">
        <f>'General Ledger'!B29</f>
        <v>Vehicles</v>
      </c>
      <c r="C31" s="8" t="str">
        <f>'General Ledger'!C29</f>
        <v>Asset</v>
      </c>
      <c r="D31" s="8">
        <f>'General Ledger'!I29</f>
        <v>0</v>
      </c>
      <c r="E31" s="8">
        <f>'General Ledger'!J29</f>
        <v>0</v>
      </c>
    </row>
    <row r="32" ht="15.75" customHeight="1">
      <c r="A32" s="8">
        <f>'General Ledger'!A30</f>
        <v>1351</v>
      </c>
      <c r="B32" s="8" t="str">
        <f>'General Ledger'!B30</f>
        <v>Accumulated Depreciation - Vehicles</v>
      </c>
      <c r="C32" s="8" t="str">
        <f>'General Ledger'!C30</f>
        <v>Asset</v>
      </c>
      <c r="D32" s="8">
        <f>'General Ledger'!I30</f>
        <v>0</v>
      </c>
      <c r="E32" s="8">
        <f>'General Ledger'!J30</f>
        <v>0</v>
      </c>
    </row>
    <row r="33" ht="15.75" customHeight="1">
      <c r="A33" s="8">
        <f>'General Ledger'!A31</f>
        <v>1360</v>
      </c>
      <c r="B33" s="8" t="str">
        <f>'General Ledger'!B31</f>
        <v>Computer &amp; IT Equipment</v>
      </c>
      <c r="C33" s="8" t="str">
        <f>'General Ledger'!C31</f>
        <v>Asset</v>
      </c>
      <c r="D33" s="8">
        <f>'General Ledger'!I31</f>
        <v>0</v>
      </c>
      <c r="E33" s="8">
        <f>'General Ledger'!J31</f>
        <v>0</v>
      </c>
    </row>
    <row r="34" ht="15.75" customHeight="1">
      <c r="A34" s="8">
        <f>'General Ledger'!A32</f>
        <v>1361</v>
      </c>
      <c r="B34" s="8" t="str">
        <f>'General Ledger'!B32</f>
        <v>Accumulated Depreciation - Computer &amp; IT Equipment</v>
      </c>
      <c r="C34" s="8" t="str">
        <f>'General Ledger'!C32</f>
        <v>Asset</v>
      </c>
      <c r="D34" s="8">
        <f>'General Ledger'!I32</f>
        <v>0</v>
      </c>
      <c r="E34" s="8">
        <f>'General Ledger'!J32</f>
        <v>0</v>
      </c>
    </row>
    <row r="35" ht="15.75" customHeight="1">
      <c r="A35" s="8">
        <f>'General Ledger'!A33</f>
        <v>2000</v>
      </c>
      <c r="B35" s="8" t="str">
        <f>'General Ledger'!B33</f>
        <v>Accounts Payable - Import Suppliers</v>
      </c>
      <c r="C35" s="8" t="str">
        <f>'General Ledger'!C33</f>
        <v>Liability</v>
      </c>
      <c r="D35" s="8">
        <f>'General Ledger'!I33</f>
        <v>0</v>
      </c>
      <c r="E35" s="8">
        <f>'General Ledger'!J33</f>
        <v>0</v>
      </c>
    </row>
    <row r="36" ht="15.75" customHeight="1">
      <c r="A36" s="8">
        <f>'General Ledger'!A34</f>
        <v>2010</v>
      </c>
      <c r="B36" s="8" t="str">
        <f>'General Ledger'!B34</f>
        <v>Accounts Payable - Local Suppliers</v>
      </c>
      <c r="C36" s="8" t="str">
        <f>'General Ledger'!C34</f>
        <v>Liability</v>
      </c>
      <c r="D36" s="8">
        <f>'General Ledger'!I34</f>
        <v>0</v>
      </c>
      <c r="E36" s="8">
        <f>'General Ledger'!J34</f>
        <v>0</v>
      </c>
    </row>
    <row r="37" ht="15.75" customHeight="1">
      <c r="A37" s="8">
        <f>'General Ledger'!A35</f>
        <v>2020</v>
      </c>
      <c r="B37" s="8" t="str">
        <f>'General Ledger'!B35</f>
        <v>Import L/C Payable</v>
      </c>
      <c r="C37" s="8" t="str">
        <f>'General Ledger'!C35</f>
        <v>Liability</v>
      </c>
      <c r="D37" s="8">
        <f>'General Ledger'!I35</f>
        <v>0</v>
      </c>
      <c r="E37" s="8">
        <f>'General Ledger'!J35</f>
        <v>0</v>
      </c>
    </row>
    <row r="38" ht="15.75" customHeight="1">
      <c r="A38" s="8">
        <f>'General Ledger'!A36</f>
        <v>2100</v>
      </c>
      <c r="B38" s="8" t="str">
        <f>'General Ledger'!B36</f>
        <v>Customs Duty Payable</v>
      </c>
      <c r="C38" s="8" t="str">
        <f>'General Ledger'!C36</f>
        <v>Liability</v>
      </c>
      <c r="D38" s="8">
        <f>'General Ledger'!I36</f>
        <v>0</v>
      </c>
      <c r="E38" s="8">
        <f>'General Ledger'!J36</f>
        <v>0</v>
      </c>
    </row>
    <row r="39" ht="15.75" customHeight="1">
      <c r="A39" s="8">
        <f>'General Ledger'!A37</f>
        <v>2110</v>
      </c>
      <c r="B39" s="8" t="str">
        <f>'General Ledger'!B37</f>
        <v>Import Duty &amp; Tax Payable (CD/RD/AT/AIT)</v>
      </c>
      <c r="C39" s="8" t="str">
        <f>'General Ledger'!C37</f>
        <v>Liability</v>
      </c>
      <c r="D39" s="8">
        <f>'General Ledger'!I37</f>
        <v>0</v>
      </c>
      <c r="E39" s="8">
        <f>'General Ledger'!J37</f>
        <v>0</v>
      </c>
    </row>
    <row r="40" ht="15.75" customHeight="1">
      <c r="A40" s="8">
        <f>'General Ledger'!A38</f>
        <v>2200</v>
      </c>
      <c r="B40" s="8" t="str">
        <f>'General Ledger'!B38</f>
        <v>VAT Payable (Output VAT)</v>
      </c>
      <c r="C40" s="8" t="str">
        <f>'General Ledger'!C38</f>
        <v>Liability</v>
      </c>
      <c r="D40" s="8">
        <f>'General Ledger'!I38</f>
        <v>0</v>
      </c>
      <c r="E40" s="8">
        <f>'General Ledger'!J38</f>
        <v>0</v>
      </c>
    </row>
    <row r="41" ht="15.75" customHeight="1">
      <c r="A41" s="8">
        <f>'General Ledger'!A39</f>
        <v>2210</v>
      </c>
      <c r="B41" s="8" t="str">
        <f>'General Ledger'!B39</f>
        <v>TDS Payable</v>
      </c>
      <c r="C41" s="8" t="str">
        <f>'General Ledger'!C39</f>
        <v>Liability</v>
      </c>
      <c r="D41" s="8">
        <f>'General Ledger'!I39</f>
        <v>0</v>
      </c>
      <c r="E41" s="8">
        <f>'General Ledger'!J39</f>
        <v>0</v>
      </c>
    </row>
    <row r="42" ht="15.75" customHeight="1">
      <c r="A42" s="8">
        <f>'General Ledger'!A40</f>
        <v>2220</v>
      </c>
      <c r="B42" s="8" t="str">
        <f>'General Ledger'!B40</f>
        <v>AIT Payable</v>
      </c>
      <c r="C42" s="8" t="str">
        <f>'General Ledger'!C40</f>
        <v>Liability</v>
      </c>
      <c r="D42" s="8">
        <f>'General Ledger'!I40</f>
        <v>0</v>
      </c>
      <c r="E42" s="8">
        <f>'General Ledger'!J40</f>
        <v>0</v>
      </c>
    </row>
    <row r="43" ht="15.75" customHeight="1">
      <c r="A43" s="8">
        <f>'General Ledger'!A41</f>
        <v>2300</v>
      </c>
      <c r="B43" s="8" t="str">
        <f>'General Ledger'!B41</f>
        <v>Salary Payable</v>
      </c>
      <c r="C43" s="8" t="str">
        <f>'General Ledger'!C41</f>
        <v>Liability</v>
      </c>
      <c r="D43" s="8">
        <f>'General Ledger'!I41</f>
        <v>0</v>
      </c>
      <c r="E43" s="8">
        <f>'General Ledger'!J41</f>
        <v>0</v>
      </c>
    </row>
    <row r="44" ht="15.75" customHeight="1">
      <c r="A44" s="8">
        <f>'General Ledger'!A42</f>
        <v>2310</v>
      </c>
      <c r="B44" s="8" t="str">
        <f>'General Ledger'!B42</f>
        <v>Accrued Expenses</v>
      </c>
      <c r="C44" s="8" t="str">
        <f>'General Ledger'!C42</f>
        <v>Liability</v>
      </c>
      <c r="D44" s="8">
        <f>'General Ledger'!I42</f>
        <v>0</v>
      </c>
      <c r="E44" s="8">
        <f>'General Ledger'!J42</f>
        <v>0</v>
      </c>
    </row>
    <row r="45" ht="15.75" customHeight="1">
      <c r="A45" s="8">
        <f>'General Ledger'!A43</f>
        <v>2400</v>
      </c>
      <c r="B45" s="8" t="str">
        <f>'General Ledger'!B43</f>
        <v>Bank Overdraft / Short-term Loan</v>
      </c>
      <c r="C45" s="8" t="str">
        <f>'General Ledger'!C43</f>
        <v>Liability</v>
      </c>
      <c r="D45" s="8">
        <f>'General Ledger'!I43</f>
        <v>0</v>
      </c>
      <c r="E45" s="8">
        <f>'General Ledger'!J43</f>
        <v>0</v>
      </c>
    </row>
    <row r="46" ht="15.75" customHeight="1">
      <c r="A46" s="8">
        <f>'General Ledger'!A44</f>
        <v>2500</v>
      </c>
      <c r="B46" s="8" t="str">
        <f>'General Ledger'!B44</f>
        <v>Term Loan (Long-term)</v>
      </c>
      <c r="C46" s="8" t="str">
        <f>'General Ledger'!C44</f>
        <v>Liability</v>
      </c>
      <c r="D46" s="8">
        <f>'General Ledger'!I44</f>
        <v>0</v>
      </c>
      <c r="E46" s="8">
        <f>'General Ledger'!J44</f>
        <v>0</v>
      </c>
    </row>
    <row r="47" ht="15.75" customHeight="1">
      <c r="A47" s="8">
        <f>'General Ledger'!A45</f>
        <v>2510</v>
      </c>
      <c r="B47" s="8" t="str">
        <f>'General Ledger'!B45</f>
        <v>Lease Liability</v>
      </c>
      <c r="C47" s="8" t="str">
        <f>'General Ledger'!C45</f>
        <v>Liability</v>
      </c>
      <c r="D47" s="8">
        <f>'General Ledger'!I45</f>
        <v>0</v>
      </c>
      <c r="E47" s="8">
        <f>'General Ledger'!J45</f>
        <v>0</v>
      </c>
    </row>
    <row r="48" ht="15.75" customHeight="1">
      <c r="A48" s="8">
        <f>'General Ledger'!A46</f>
        <v>3000</v>
      </c>
      <c r="B48" s="8" t="str">
        <f>'General Ledger'!B46</f>
        <v>Owner's Capital</v>
      </c>
      <c r="C48" s="8" t="str">
        <f>'General Ledger'!C46</f>
        <v>Equity</v>
      </c>
      <c r="D48" s="8">
        <f>'General Ledger'!I46</f>
        <v>0</v>
      </c>
      <c r="E48" s="8">
        <f>'General Ledger'!J46</f>
        <v>0</v>
      </c>
    </row>
    <row r="49" ht="15.75" customHeight="1">
      <c r="A49" s="8">
        <f>'General Ledger'!A47</f>
        <v>3010</v>
      </c>
      <c r="B49" s="8" t="str">
        <f>'General Ledger'!B47</f>
        <v>Owner's Drawings</v>
      </c>
      <c r="C49" s="8" t="str">
        <f>'General Ledger'!C47</f>
        <v>Equity</v>
      </c>
      <c r="D49" s="8">
        <f>'General Ledger'!I47</f>
        <v>0</v>
      </c>
      <c r="E49" s="8">
        <f>'General Ledger'!J47</f>
        <v>0</v>
      </c>
    </row>
    <row r="50" ht="15.75" customHeight="1">
      <c r="A50" s="8">
        <f>'General Ledger'!A48</f>
        <v>3100</v>
      </c>
      <c r="B50" s="8" t="str">
        <f>'General Ledger'!B48</f>
        <v>Retained Earnings</v>
      </c>
      <c r="C50" s="8" t="str">
        <f>'General Ledger'!C48</f>
        <v>Equity</v>
      </c>
      <c r="D50" s="8">
        <f>'General Ledger'!I48</f>
        <v>0</v>
      </c>
      <c r="E50" s="8">
        <f>'General Ledger'!J48</f>
        <v>0</v>
      </c>
    </row>
    <row r="51" ht="15.75" customHeight="1">
      <c r="A51" s="8">
        <f>'General Ledger'!A49</f>
        <v>3200</v>
      </c>
      <c r="B51" s="8" t="str">
        <f>'General Ledger'!B49</f>
        <v>Opening Balance Equity</v>
      </c>
      <c r="C51" s="8" t="str">
        <f>'General Ledger'!C49</f>
        <v>Equity</v>
      </c>
      <c r="D51" s="8">
        <f>'General Ledger'!I49</f>
        <v>0</v>
      </c>
      <c r="E51" s="8">
        <f>'General Ledger'!J49</f>
        <v>800000</v>
      </c>
    </row>
    <row r="52" ht="15.75" customHeight="1">
      <c r="A52" s="8">
        <f>'General Ledger'!A50</f>
        <v>4000</v>
      </c>
      <c r="B52" s="8" t="str">
        <f>'General Ledger'!B50</f>
        <v>Import Sales</v>
      </c>
      <c r="C52" s="8" t="str">
        <f>'General Ledger'!C50</f>
        <v>Revenue</v>
      </c>
      <c r="D52" s="8">
        <f>'General Ledger'!I50</f>
        <v>0</v>
      </c>
      <c r="E52" s="8">
        <f>'General Ledger'!J50</f>
        <v>0</v>
      </c>
    </row>
    <row r="53" ht="15.75" customHeight="1">
      <c r="A53" s="8">
        <f>'General Ledger'!A51</f>
        <v>4010</v>
      </c>
      <c r="B53" s="8" t="str">
        <f>'General Ledger'!B51</f>
        <v>Manufacturing Sales</v>
      </c>
      <c r="C53" s="8" t="str">
        <f>'General Ledger'!C51</f>
        <v>Revenue</v>
      </c>
      <c r="D53" s="8">
        <f>'General Ledger'!I51</f>
        <v>0</v>
      </c>
      <c r="E53" s="8">
        <f>'General Ledger'!J51</f>
        <v>4000</v>
      </c>
    </row>
    <row r="54" ht="15.75" customHeight="1">
      <c r="A54" s="8">
        <f>'General Ledger'!A52</f>
        <v>4020</v>
      </c>
      <c r="B54" s="8" t="str">
        <f>'General Ledger'!B52</f>
        <v>Packaging Sales</v>
      </c>
      <c r="C54" s="8" t="str">
        <f>'General Ledger'!C52</f>
        <v>Revenue</v>
      </c>
      <c r="D54" s="8">
        <f>'General Ledger'!I52</f>
        <v>0</v>
      </c>
      <c r="E54" s="8">
        <f>'General Ledger'!J52</f>
        <v>0</v>
      </c>
    </row>
    <row r="55" ht="15.75" customHeight="1">
      <c r="A55" s="8">
        <f>'General Ledger'!A53</f>
        <v>4030</v>
      </c>
      <c r="B55" s="8" t="str">
        <f>'General Ledger'!B53</f>
        <v>Trading Sales</v>
      </c>
      <c r="C55" s="8" t="str">
        <f>'General Ledger'!C53</f>
        <v>Revenue</v>
      </c>
      <c r="D55" s="8">
        <f>'General Ledger'!I53</f>
        <v>0</v>
      </c>
      <c r="E55" s="8">
        <f>'General Ledger'!J53</f>
        <v>0</v>
      </c>
    </row>
    <row r="56" ht="15.75" customHeight="1">
      <c r="A56" s="8">
        <f>'General Ledger'!A54</f>
        <v>4040</v>
      </c>
      <c r="B56" s="8" t="str">
        <f>'General Ledger'!B54</f>
        <v>Application / Service Income</v>
      </c>
      <c r="C56" s="8" t="str">
        <f>'General Ledger'!C54</f>
        <v>Revenue</v>
      </c>
      <c r="D56" s="8">
        <f>'General Ledger'!I54</f>
        <v>0</v>
      </c>
      <c r="E56" s="8">
        <f>'General Ledger'!J54</f>
        <v>0</v>
      </c>
    </row>
    <row r="57" ht="15.75" customHeight="1">
      <c r="A57" s="8">
        <f>'General Ledger'!A55</f>
        <v>4100</v>
      </c>
      <c r="B57" s="8" t="str">
        <f>'General Ledger'!B55</f>
        <v>Sales Return &amp; Allowances</v>
      </c>
      <c r="C57" s="8" t="str">
        <f>'General Ledger'!C55</f>
        <v>Revenue</v>
      </c>
      <c r="D57" s="8">
        <f>'General Ledger'!I55</f>
        <v>0</v>
      </c>
      <c r="E57" s="8">
        <f>'General Ledger'!J55</f>
        <v>0</v>
      </c>
    </row>
    <row r="58" ht="15.75" customHeight="1">
      <c r="A58" s="8">
        <f>'General Ledger'!A56</f>
        <v>4110</v>
      </c>
      <c r="B58" s="8" t="str">
        <f>'General Ledger'!B56</f>
        <v>Sales Discount</v>
      </c>
      <c r="C58" s="8" t="str">
        <f>'General Ledger'!C56</f>
        <v>Revenue</v>
      </c>
      <c r="D58" s="8">
        <f>'General Ledger'!I56</f>
        <v>0</v>
      </c>
      <c r="E58" s="8">
        <f>'General Ledger'!J56</f>
        <v>0</v>
      </c>
    </row>
    <row r="59" ht="15.75" customHeight="1">
      <c r="A59" s="8">
        <f>'General Ledger'!A57</f>
        <v>5000</v>
      </c>
      <c r="B59" s="8" t="str">
        <f>'General Ledger'!B57</f>
        <v>COGS - Import</v>
      </c>
      <c r="C59" s="8" t="str">
        <f>'General Ledger'!C57</f>
        <v>COGS</v>
      </c>
      <c r="D59" s="8">
        <f>'General Ledger'!I57</f>
        <v>0</v>
      </c>
      <c r="E59" s="8">
        <f>'General Ledger'!J57</f>
        <v>0</v>
      </c>
    </row>
    <row r="60" ht="15.75" customHeight="1">
      <c r="A60" s="8">
        <f>'General Ledger'!A58</f>
        <v>5010</v>
      </c>
      <c r="B60" s="8" t="str">
        <f>'General Ledger'!B58</f>
        <v>COGS - Manufacturing (Raw Material Consumed)</v>
      </c>
      <c r="C60" s="8" t="str">
        <f>'General Ledger'!C58</f>
        <v>COGS</v>
      </c>
      <c r="D60" s="8">
        <f>'General Ledger'!I58</f>
        <v>2400</v>
      </c>
      <c r="E60" s="8">
        <f>'General Ledger'!J58</f>
        <v>0</v>
      </c>
    </row>
    <row r="61" ht="15.75" customHeight="1">
      <c r="A61" s="8">
        <f>'General Ledger'!A59</f>
        <v>5011</v>
      </c>
      <c r="B61" s="8" t="str">
        <f>'General Ledger'!B59</f>
        <v>Direct Labor - Manufacturing</v>
      </c>
      <c r="C61" s="8" t="str">
        <f>'General Ledger'!C59</f>
        <v>COGS</v>
      </c>
      <c r="D61" s="8">
        <f>'General Ledger'!I59</f>
        <v>0</v>
      </c>
      <c r="E61" s="8">
        <f>'General Ledger'!J59</f>
        <v>0</v>
      </c>
    </row>
    <row r="62" ht="15.75" customHeight="1">
      <c r="A62" s="8">
        <f>'General Ledger'!A60</f>
        <v>5012</v>
      </c>
      <c r="B62" s="8" t="str">
        <f>'General Ledger'!B60</f>
        <v>Factory Overhead - Manufacturing</v>
      </c>
      <c r="C62" s="8" t="str">
        <f>'General Ledger'!C60</f>
        <v>COGS</v>
      </c>
      <c r="D62" s="8">
        <f>'General Ledger'!I60</f>
        <v>0</v>
      </c>
      <c r="E62" s="8">
        <f>'General Ledger'!J60</f>
        <v>0</v>
      </c>
    </row>
    <row r="63" ht="15.75" customHeight="1">
      <c r="A63" s="8">
        <f>'General Ledger'!A61</f>
        <v>5020</v>
      </c>
      <c r="B63" s="8" t="str">
        <f>'General Ledger'!B61</f>
        <v>COGS - Packaging</v>
      </c>
      <c r="C63" s="8" t="str">
        <f>'General Ledger'!C61</f>
        <v>COGS</v>
      </c>
      <c r="D63" s="8">
        <f>'General Ledger'!I61</f>
        <v>0</v>
      </c>
      <c r="E63" s="8">
        <f>'General Ledger'!J61</f>
        <v>0</v>
      </c>
    </row>
    <row r="64" ht="15.75" customHeight="1">
      <c r="A64" s="8">
        <f>'General Ledger'!A62</f>
        <v>5030</v>
      </c>
      <c r="B64" s="8" t="str">
        <f>'General Ledger'!B62</f>
        <v>COGS - Trading</v>
      </c>
      <c r="C64" s="8" t="str">
        <f>'General Ledger'!C62</f>
        <v>COGS</v>
      </c>
      <c r="D64" s="8">
        <f>'General Ledger'!I62</f>
        <v>0</v>
      </c>
      <c r="E64" s="8">
        <f>'General Ledger'!J62</f>
        <v>0</v>
      </c>
    </row>
    <row r="65" ht="15.75" customHeight="1">
      <c r="A65" s="8">
        <f>'General Ledger'!A63</f>
        <v>5040</v>
      </c>
      <c r="B65" s="8" t="str">
        <f>'General Ledger'!B63</f>
        <v>Customs Duty &amp; Clearing (Import)</v>
      </c>
      <c r="C65" s="8" t="str">
        <f>'General Ledger'!C63</f>
        <v>COGS</v>
      </c>
      <c r="D65" s="8">
        <f>'General Ledger'!I63</f>
        <v>0</v>
      </c>
      <c r="E65" s="8">
        <f>'General Ledger'!J63</f>
        <v>0</v>
      </c>
    </row>
    <row r="66" ht="15.75" customHeight="1">
      <c r="A66" s="8">
        <f>'General Ledger'!A64</f>
        <v>5050</v>
      </c>
      <c r="B66" s="8" t="str">
        <f>'General Ledger'!B64</f>
        <v>Freight Inward (Import)</v>
      </c>
      <c r="C66" s="8" t="str">
        <f>'General Ledger'!C64</f>
        <v>COGS</v>
      </c>
      <c r="D66" s="8">
        <f>'General Ledger'!I64</f>
        <v>0</v>
      </c>
      <c r="E66" s="8">
        <f>'General Ledger'!J64</f>
        <v>0</v>
      </c>
    </row>
    <row r="67" ht="15.75" customHeight="1">
      <c r="A67" s="8">
        <f>'General Ledger'!A65</f>
        <v>5060</v>
      </c>
      <c r="B67" s="8" t="str">
        <f>'General Ledger'!B65</f>
        <v>L/C Charges (Import)</v>
      </c>
      <c r="C67" s="8" t="str">
        <f>'General Ledger'!C65</f>
        <v>COGS</v>
      </c>
      <c r="D67" s="8">
        <f>'General Ledger'!I65</f>
        <v>0</v>
      </c>
      <c r="E67" s="8">
        <f>'General Ledger'!J65</f>
        <v>0</v>
      </c>
    </row>
    <row r="68" ht="15.75" customHeight="1">
      <c r="A68" s="8">
        <f>'General Ledger'!A66</f>
        <v>5070</v>
      </c>
      <c r="B68" s="8" t="str">
        <f>'General Ledger'!B66</f>
        <v>Carrying &amp; Forwarding Charges</v>
      </c>
      <c r="C68" s="8" t="str">
        <f>'General Ledger'!C66</f>
        <v>COGS</v>
      </c>
      <c r="D68" s="8">
        <f>'General Ledger'!I66</f>
        <v>0</v>
      </c>
      <c r="E68" s="8">
        <f>'General Ledger'!J66</f>
        <v>0</v>
      </c>
    </row>
    <row r="69" ht="15.75" customHeight="1">
      <c r="A69" s="8">
        <f>'General Ledger'!A67</f>
        <v>6000</v>
      </c>
      <c r="B69" s="8" t="str">
        <f>'General Ledger'!B67</f>
        <v>Rent Expense</v>
      </c>
      <c r="C69" s="8" t="str">
        <f>'General Ledger'!C67</f>
        <v>Expense</v>
      </c>
      <c r="D69" s="8">
        <f>'General Ledger'!I67</f>
        <v>0</v>
      </c>
      <c r="E69" s="8">
        <f>'General Ledger'!J67</f>
        <v>0</v>
      </c>
    </row>
    <row r="70" ht="15.75" customHeight="1">
      <c r="A70" s="8">
        <f>'General Ledger'!A68</f>
        <v>6010</v>
      </c>
      <c r="B70" s="8" t="str">
        <f>'General Ledger'!B68</f>
        <v>Salary &amp; Wages - Office</v>
      </c>
      <c r="C70" s="8" t="str">
        <f>'General Ledger'!C68</f>
        <v>Expense</v>
      </c>
      <c r="D70" s="8">
        <f>'General Ledger'!I68</f>
        <v>0</v>
      </c>
      <c r="E70" s="8">
        <f>'General Ledger'!J68</f>
        <v>0</v>
      </c>
    </row>
    <row r="71" ht="15.75" customHeight="1">
      <c r="A71" s="8">
        <f>'General Ledger'!A69</f>
        <v>6020</v>
      </c>
      <c r="B71" s="8" t="str">
        <f>'General Ledger'!B69</f>
        <v>Utilities (Electricity/Gas/Water)</v>
      </c>
      <c r="C71" s="8" t="str">
        <f>'General Ledger'!C69</f>
        <v>Expense</v>
      </c>
      <c r="D71" s="8">
        <f>'General Ledger'!I69</f>
        <v>0</v>
      </c>
      <c r="E71" s="8">
        <f>'General Ledger'!J69</f>
        <v>0</v>
      </c>
    </row>
    <row r="72" ht="15.75" customHeight="1">
      <c r="A72" s="8">
        <f>'General Ledger'!A70</f>
        <v>6030</v>
      </c>
      <c r="B72" s="8" t="str">
        <f>'General Ledger'!B70</f>
        <v>Office Admin Expense</v>
      </c>
      <c r="C72" s="8" t="str">
        <f>'General Ledger'!C70</f>
        <v>Expense</v>
      </c>
      <c r="D72" s="8">
        <f>'General Ledger'!I70</f>
        <v>0</v>
      </c>
      <c r="E72" s="8">
        <f>'General Ledger'!J70</f>
        <v>0</v>
      </c>
    </row>
    <row r="73" ht="15.75" customHeight="1">
      <c r="A73" s="8">
        <f>'General Ledger'!A71</f>
        <v>6040</v>
      </c>
      <c r="B73" s="8" t="str">
        <f>'General Ledger'!B71</f>
        <v>Depreciation Expense</v>
      </c>
      <c r="C73" s="8" t="str">
        <f>'General Ledger'!C71</f>
        <v>Expense</v>
      </c>
      <c r="D73" s="8">
        <f>'General Ledger'!I71</f>
        <v>0</v>
      </c>
      <c r="E73" s="8">
        <f>'General Ledger'!J71</f>
        <v>0</v>
      </c>
    </row>
    <row r="74" ht="15.75" customHeight="1">
      <c r="A74" s="8">
        <f>'General Ledger'!A72</f>
        <v>6050</v>
      </c>
      <c r="B74" s="8" t="str">
        <f>'General Ledger'!B72</f>
        <v>Bank Charges</v>
      </c>
      <c r="C74" s="8" t="str">
        <f>'General Ledger'!C72</f>
        <v>Expense</v>
      </c>
      <c r="D74" s="8">
        <f>'General Ledger'!I72</f>
        <v>0</v>
      </c>
      <c r="E74" s="8">
        <f>'General Ledger'!J72</f>
        <v>0</v>
      </c>
    </row>
    <row r="75" ht="15.75" customHeight="1">
      <c r="A75" s="8">
        <f>'General Ledger'!A73</f>
        <v>6060</v>
      </c>
      <c r="B75" s="8" t="str">
        <f>'General Ledger'!B73</f>
        <v>Printing &amp; Stationery</v>
      </c>
      <c r="C75" s="8" t="str">
        <f>'General Ledger'!C73</f>
        <v>Expense</v>
      </c>
      <c r="D75" s="8">
        <f>'General Ledger'!I73</f>
        <v>0</v>
      </c>
      <c r="E75" s="8">
        <f>'General Ledger'!J73</f>
        <v>0</v>
      </c>
    </row>
    <row r="76" ht="15.75" customHeight="1">
      <c r="A76" s="8">
        <f>'General Ledger'!A74</f>
        <v>6070</v>
      </c>
      <c r="B76" s="8" t="str">
        <f>'General Ledger'!B74</f>
        <v>Telephone &amp; Internet</v>
      </c>
      <c r="C76" s="8" t="str">
        <f>'General Ledger'!C74</f>
        <v>Expense</v>
      </c>
      <c r="D76" s="8">
        <f>'General Ledger'!I74</f>
        <v>0</v>
      </c>
      <c r="E76" s="8">
        <f>'General Ledger'!J74</f>
        <v>0</v>
      </c>
    </row>
    <row r="77" ht="15.75" customHeight="1">
      <c r="A77" s="8">
        <f>'General Ledger'!A75</f>
        <v>6080</v>
      </c>
      <c r="B77" s="8" t="str">
        <f>'General Ledger'!B75</f>
        <v>Legal &amp; Professional Fees</v>
      </c>
      <c r="C77" s="8" t="str">
        <f>'General Ledger'!C75</f>
        <v>Expense</v>
      </c>
      <c r="D77" s="8">
        <f>'General Ledger'!I75</f>
        <v>0</v>
      </c>
      <c r="E77" s="8">
        <f>'General Ledger'!J75</f>
        <v>0</v>
      </c>
    </row>
    <row r="78" ht="15.75" customHeight="1">
      <c r="A78" s="8">
        <f>'General Ledger'!A76</f>
        <v>6090</v>
      </c>
      <c r="B78" s="8" t="str">
        <f>'General Ledger'!B76</f>
        <v>Audit Fee</v>
      </c>
      <c r="C78" s="8" t="str">
        <f>'General Ledger'!C76</f>
        <v>Expense</v>
      </c>
      <c r="D78" s="8">
        <f>'General Ledger'!I76</f>
        <v>0</v>
      </c>
      <c r="E78" s="8">
        <f>'General Ledger'!J76</f>
        <v>0</v>
      </c>
    </row>
    <row r="79" ht="15.75" customHeight="1">
      <c r="A79" s="8">
        <f>'General Ledger'!A77</f>
        <v>6100</v>
      </c>
      <c r="B79" s="8" t="str">
        <f>'General Ledger'!B77</f>
        <v>Repair &amp; Maintenance</v>
      </c>
      <c r="C79" s="8" t="str">
        <f>'General Ledger'!C77</f>
        <v>Expense</v>
      </c>
      <c r="D79" s="8">
        <f>'General Ledger'!I77</f>
        <v>0</v>
      </c>
      <c r="E79" s="8">
        <f>'General Ledger'!J77</f>
        <v>0</v>
      </c>
    </row>
    <row r="80" ht="15.75" customHeight="1">
      <c r="A80" s="8">
        <f>'General Ledger'!A78</f>
        <v>6110</v>
      </c>
      <c r="B80" s="8" t="str">
        <f>'General Ledger'!B78</f>
        <v>Insurance Expense</v>
      </c>
      <c r="C80" s="8" t="str">
        <f>'General Ledger'!C78</f>
        <v>Expense</v>
      </c>
      <c r="D80" s="8">
        <f>'General Ledger'!I78</f>
        <v>0</v>
      </c>
      <c r="E80" s="8">
        <f>'General Ledger'!J78</f>
        <v>0</v>
      </c>
    </row>
    <row r="81" ht="15.75" customHeight="1">
      <c r="A81" s="8">
        <f>'General Ledger'!A79</f>
        <v>6120</v>
      </c>
      <c r="B81" s="8" t="str">
        <f>'General Ledger'!B79</f>
        <v>Vehicle Running Expense</v>
      </c>
      <c r="C81" s="8" t="str">
        <f>'General Ledger'!C79</f>
        <v>Expense</v>
      </c>
      <c r="D81" s="8">
        <f>'General Ledger'!I79</f>
        <v>0</v>
      </c>
      <c r="E81" s="8">
        <f>'General Ledger'!J79</f>
        <v>0</v>
      </c>
    </row>
    <row r="82" ht="15.75" customHeight="1">
      <c r="A82" s="8">
        <f>'General Ledger'!A80</f>
        <v>6130</v>
      </c>
      <c r="B82" s="8" t="str">
        <f>'General Ledger'!B80</f>
        <v>Software &amp; AMC Expense</v>
      </c>
      <c r="C82" s="8" t="str">
        <f>'General Ledger'!C80</f>
        <v>Expense</v>
      </c>
      <c r="D82" s="8">
        <f>'General Ledger'!I80</f>
        <v>0</v>
      </c>
      <c r="E82" s="8">
        <f>'General Ledger'!J80</f>
        <v>0</v>
      </c>
    </row>
    <row r="83" ht="15.75" customHeight="1">
      <c r="A83" s="8">
        <f>'General Ledger'!A81</f>
        <v>6140</v>
      </c>
      <c r="B83" s="8" t="str">
        <f>'General Ledger'!B81</f>
        <v>Entertainment Expense</v>
      </c>
      <c r="C83" s="8" t="str">
        <f>'General Ledger'!C81</f>
        <v>Expense</v>
      </c>
      <c r="D83" s="8">
        <f>'General Ledger'!I81</f>
        <v>0</v>
      </c>
      <c r="E83" s="8">
        <f>'General Ledger'!J81</f>
        <v>0</v>
      </c>
    </row>
    <row r="84" ht="15.75" customHeight="1">
      <c r="A84" s="8">
        <f>'General Ledger'!A82</f>
        <v>6200</v>
      </c>
      <c r="B84" s="8" t="str">
        <f>'General Ledger'!B82</f>
        <v>Salary &amp; Commission - Sales</v>
      </c>
      <c r="C84" s="8" t="str">
        <f>'General Ledger'!C82</f>
        <v>Expense</v>
      </c>
      <c r="D84" s="8">
        <f>'General Ledger'!I82</f>
        <v>0</v>
      </c>
      <c r="E84" s="8">
        <f>'General Ledger'!J82</f>
        <v>0</v>
      </c>
    </row>
    <row r="85" ht="15.75" customHeight="1">
      <c r="A85" s="8">
        <f>'General Ledger'!A83</f>
        <v>6210</v>
      </c>
      <c r="B85" s="8" t="str">
        <f>'General Ledger'!B83</f>
        <v>Advertising &amp; Promotion</v>
      </c>
      <c r="C85" s="8" t="str">
        <f>'General Ledger'!C83</f>
        <v>Expense</v>
      </c>
      <c r="D85" s="8">
        <f>'General Ledger'!I83</f>
        <v>0</v>
      </c>
      <c r="E85" s="8">
        <f>'General Ledger'!J83</f>
        <v>0</v>
      </c>
    </row>
    <row r="86" ht="15.75" customHeight="1">
      <c r="A86" s="8">
        <f>'General Ledger'!A84</f>
        <v>6220</v>
      </c>
      <c r="B86" s="8" t="str">
        <f>'General Ledger'!B84</f>
        <v>Freight Outward / Delivery Expense</v>
      </c>
      <c r="C86" s="8" t="str">
        <f>'General Ledger'!C84</f>
        <v>Expense</v>
      </c>
      <c r="D86" s="8">
        <f>'General Ledger'!I84</f>
        <v>0</v>
      </c>
      <c r="E86" s="8">
        <f>'General Ledger'!J84</f>
        <v>0</v>
      </c>
    </row>
    <row r="87" ht="15.75" customHeight="1">
      <c r="A87" s="8">
        <f>'General Ledger'!A85</f>
        <v>6230</v>
      </c>
      <c r="B87" s="8" t="str">
        <f>'General Ledger'!B85</f>
        <v>Travel Expense</v>
      </c>
      <c r="C87" s="8" t="str">
        <f>'General Ledger'!C85</f>
        <v>Expense</v>
      </c>
      <c r="D87" s="8">
        <f>'General Ledger'!I85</f>
        <v>0</v>
      </c>
      <c r="E87" s="8">
        <f>'General Ledger'!J85</f>
        <v>0</v>
      </c>
    </row>
    <row r="88" ht="15.75" customHeight="1">
      <c r="A88" s="8">
        <f>'General Ledger'!A86</f>
        <v>6300</v>
      </c>
      <c r="B88" s="8" t="str">
        <f>'General Ledger'!B86</f>
        <v>Interest on Loan</v>
      </c>
      <c r="C88" s="8" t="str">
        <f>'General Ledger'!C86</f>
        <v>Expense</v>
      </c>
      <c r="D88" s="8">
        <f>'General Ledger'!I86</f>
        <v>0</v>
      </c>
      <c r="E88" s="8">
        <f>'General Ledger'!J86</f>
        <v>0</v>
      </c>
    </row>
    <row r="89" ht="15.75" customHeight="1">
      <c r="A89" s="8">
        <f>'General Ledger'!A87</f>
        <v>6310</v>
      </c>
      <c r="B89" s="8" t="str">
        <f>'General Ledger'!B87</f>
        <v>Foreign Exchange Loss</v>
      </c>
      <c r="C89" s="8" t="str">
        <f>'General Ledger'!C87</f>
        <v>Expense</v>
      </c>
      <c r="D89" s="8">
        <f>'General Ledger'!I87</f>
        <v>0</v>
      </c>
      <c r="E89" s="8">
        <f>'General Ledger'!J87</f>
        <v>0</v>
      </c>
    </row>
    <row r="90" ht="15.75" customHeight="1">
      <c r="A90" s="8">
        <f>'General Ledger'!A88</f>
        <v>7000</v>
      </c>
      <c r="B90" s="8" t="str">
        <f>'General Ledger'!B88</f>
        <v>Interest Income</v>
      </c>
      <c r="C90" s="8" t="str">
        <f>'General Ledger'!C88</f>
        <v>Other Income</v>
      </c>
      <c r="D90" s="8">
        <f>'General Ledger'!I88</f>
        <v>0</v>
      </c>
      <c r="E90" s="8">
        <f>'General Ledger'!J88</f>
        <v>0</v>
      </c>
    </row>
    <row r="91" ht="15.75" customHeight="1">
      <c r="A91" s="8">
        <f>'General Ledger'!A89</f>
        <v>7010</v>
      </c>
      <c r="B91" s="8" t="str">
        <f>'General Ledger'!B89</f>
        <v>Foreign Exchange Gain</v>
      </c>
      <c r="C91" s="8" t="str">
        <f>'General Ledger'!C89</f>
        <v>Other Income</v>
      </c>
      <c r="D91" s="8">
        <f>'General Ledger'!I89</f>
        <v>0</v>
      </c>
      <c r="E91" s="8">
        <f>'General Ledger'!J89</f>
        <v>0</v>
      </c>
    </row>
    <row r="92" ht="15.75" customHeight="1">
      <c r="A92" s="8">
        <f>'General Ledger'!A90</f>
        <v>7020</v>
      </c>
      <c r="B92" s="8" t="str">
        <f>'General Ledger'!B90</f>
        <v>Miscellaneous Income</v>
      </c>
      <c r="C92" s="8" t="str">
        <f>'General Ledger'!C90</f>
        <v>Other Income</v>
      </c>
      <c r="D92" s="8">
        <f>'General Ledger'!I90</f>
        <v>0</v>
      </c>
      <c r="E92" s="8">
        <f>'General Ledger'!J90</f>
        <v>0</v>
      </c>
    </row>
    <row r="93" ht="15.75" customHeight="1"/>
    <row r="94" ht="15.75" customHeight="1">
      <c r="B94" s="2" t="s">
        <v>94</v>
      </c>
      <c r="D94" s="2">
        <f t="shared" ref="D94:E94" si="1">SUM(D4:D92)</f>
        <v>804000</v>
      </c>
      <c r="E94" s="2">
        <f t="shared" si="1"/>
        <v>804000</v>
      </c>
    </row>
    <row r="95" ht="15.75" customHeight="1">
      <c r="B95" s="2" t="s">
        <v>103</v>
      </c>
      <c r="D95" s="2">
        <f>D94-E94</f>
        <v>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5" width="16.0"/>
    <col customWidth="1" min="6" max="26" width="8.71"/>
  </cols>
  <sheetData>
    <row r="1" ht="33.75" customHeight="1">
      <c r="A1" s="3" t="s">
        <v>6</v>
      </c>
      <c r="B1" s="3" t="s">
        <v>302</v>
      </c>
      <c r="C1" s="3" t="s">
        <v>303</v>
      </c>
      <c r="D1" s="3" t="s">
        <v>304</v>
      </c>
      <c r="E1" s="3" t="s">
        <v>305</v>
      </c>
    </row>
    <row r="2">
      <c r="A2" s="7" t="s">
        <v>36</v>
      </c>
      <c r="B2" s="8">
        <f>SUMIFS('General Ledger'!$J$2:$J$90,'General Ledger'!$D$2:$D$90,A2,'General Ledger'!$C$2:$C$90,"Revenue")-SUMIFS('General Ledger'!$I$2:$I$90,'General Ledger'!$D$2:$D$90,A2,'General Ledger'!$C$2:$C$90,"Revenue")</f>
        <v>0</v>
      </c>
      <c r="C2" s="8">
        <f>SUMIFS('General Ledger'!$I$2:$I$90,'General Ledger'!$D$2:$D$90,A2,'General Ledger'!$C$2:$C$90,"COGS")</f>
        <v>0</v>
      </c>
      <c r="D2" s="8">
        <f t="shared" ref="D2:D6" si="1">B2-C2</f>
        <v>0</v>
      </c>
      <c r="E2" s="30">
        <f t="shared" ref="E2:E7" si="2">IFERROR(D2/B2,0)</f>
        <v>0</v>
      </c>
    </row>
    <row r="3">
      <c r="A3" s="7" t="s">
        <v>52</v>
      </c>
      <c r="B3" s="8">
        <f>SUMIFS('General Ledger'!$J$2:$J$90,'General Ledger'!$D$2:$D$90,A3,'General Ledger'!$C$2:$C$90,"Revenue")-SUMIFS('General Ledger'!$I$2:$I$90,'General Ledger'!$D$2:$D$90,A3,'General Ledger'!$C$2:$C$90,"Revenue")</f>
        <v>4000</v>
      </c>
      <c r="C3" s="8">
        <f>SUMIFS('General Ledger'!$I$2:$I$90,'General Ledger'!$D$2:$D$90,A3,'General Ledger'!$C$2:$C$90,"COGS")</f>
        <v>2400</v>
      </c>
      <c r="D3" s="8">
        <f t="shared" si="1"/>
        <v>1600</v>
      </c>
      <c r="E3" s="30">
        <f t="shared" si="2"/>
        <v>0.4</v>
      </c>
    </row>
    <row r="4">
      <c r="A4" s="7" t="s">
        <v>56</v>
      </c>
      <c r="B4" s="8">
        <f>SUMIFS('General Ledger'!$J$2:$J$90,'General Ledger'!$D$2:$D$90,A4,'General Ledger'!$C$2:$C$90,"Revenue")-SUMIFS('General Ledger'!$I$2:$I$90,'General Ledger'!$D$2:$D$90,A4,'General Ledger'!$C$2:$C$90,"Revenue")</f>
        <v>0</v>
      </c>
      <c r="C4" s="8">
        <f>SUMIFS('General Ledger'!$I$2:$I$90,'General Ledger'!$D$2:$D$90,A4,'General Ledger'!$C$2:$C$90,"COGS")</f>
        <v>0</v>
      </c>
      <c r="D4" s="8">
        <f t="shared" si="1"/>
        <v>0</v>
      </c>
      <c r="E4" s="30">
        <f t="shared" si="2"/>
        <v>0</v>
      </c>
    </row>
    <row r="5">
      <c r="A5" s="7" t="s">
        <v>58</v>
      </c>
      <c r="B5" s="8">
        <f>SUMIFS('General Ledger'!$J$2:$J$90,'General Ledger'!$D$2:$D$90,A5,'General Ledger'!$C$2:$C$90,"Revenue")-SUMIFS('General Ledger'!$I$2:$I$90,'General Ledger'!$D$2:$D$90,A5,'General Ledger'!$C$2:$C$90,"Revenue")</f>
        <v>0</v>
      </c>
      <c r="C5" s="8">
        <f>SUMIFS('General Ledger'!$I$2:$I$90,'General Ledger'!$D$2:$D$90,A5,'General Ledger'!$C$2:$C$90,"COGS")</f>
        <v>0</v>
      </c>
      <c r="D5" s="8">
        <f t="shared" si="1"/>
        <v>0</v>
      </c>
      <c r="E5" s="30">
        <f t="shared" si="2"/>
        <v>0</v>
      </c>
    </row>
    <row r="6">
      <c r="A6" s="7" t="s">
        <v>99</v>
      </c>
      <c r="B6" s="8">
        <f>SUMIFS('General Ledger'!$J$2:$J$90,'General Ledger'!$D$2:$D$90,A6,'General Ledger'!$C$2:$C$90,"Revenue")-SUMIFS('General Ledger'!$I$2:$I$90,'General Ledger'!$D$2:$D$90,A6,'General Ledger'!$C$2:$C$90,"Revenue")</f>
        <v>0</v>
      </c>
      <c r="C6" s="8">
        <f>SUMIFS('General Ledger'!$I$2:$I$90,'General Ledger'!$D$2:$D$90,A6,'General Ledger'!$C$2:$C$90,"COGS")</f>
        <v>0</v>
      </c>
      <c r="D6" s="8">
        <f t="shared" si="1"/>
        <v>0</v>
      </c>
      <c r="E6" s="30">
        <f t="shared" si="2"/>
        <v>0</v>
      </c>
    </row>
    <row r="7">
      <c r="A7" s="2" t="s">
        <v>94</v>
      </c>
      <c r="B7" s="2">
        <f t="shared" ref="B7:D7" si="3">SUM(B2:B6)</f>
        <v>4000</v>
      </c>
      <c r="C7" s="2">
        <f t="shared" si="3"/>
        <v>2400</v>
      </c>
      <c r="D7" s="2">
        <f t="shared" si="3"/>
        <v>1600</v>
      </c>
      <c r="E7" s="31">
        <f t="shared" si="2"/>
        <v>0.4</v>
      </c>
    </row>
    <row r="9">
      <c r="A9" s="2" t="s">
        <v>306</v>
      </c>
      <c r="B9" s="13">
        <f>SUMIF('General Ledger'!$C$2:$C$90,"Expense",'General Ledger'!$I$2:$I$90)</f>
        <v>0</v>
      </c>
    </row>
    <row r="10">
      <c r="A10" s="2" t="s">
        <v>307</v>
      </c>
      <c r="B10" s="13">
        <f>SUMIF('General Ledger'!$C$2:$C$90,"Other Income",'General Ledger'!$J$2:$J$90)-SUMIF('General Ledger'!$C$2:$C$90,"Other Income",'General Ledger'!$I$2:$I$90)</f>
        <v>0</v>
      </c>
    </row>
    <row r="11">
      <c r="A11" s="2" t="s">
        <v>308</v>
      </c>
      <c r="B11" s="2">
        <f>D7-B9+B10</f>
        <v>1600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26" width="8.71"/>
  </cols>
  <sheetData>
    <row r="1">
      <c r="A1" s="2" t="s">
        <v>301</v>
      </c>
      <c r="B1" s="29">
        <f>TODAY()</f>
        <v>46279</v>
      </c>
    </row>
    <row r="3">
      <c r="A3" s="32" t="s">
        <v>309</v>
      </c>
    </row>
    <row r="4">
      <c r="A4" s="2" t="s">
        <v>310</v>
      </c>
      <c r="B4" s="13">
        <f>SUMIF('General Ledger'!$C$2:$C$90,"Asset",'General Ledger'!$I$2:$I$90)-SUMIF('General Ledger'!$C$2:$C$90,"Asset",'General Ledger'!$J$2:$J$90)</f>
        <v>801600</v>
      </c>
    </row>
    <row r="6">
      <c r="A6" s="32" t="s">
        <v>311</v>
      </c>
    </row>
    <row r="7">
      <c r="A7" s="2" t="s">
        <v>312</v>
      </c>
      <c r="B7" s="13">
        <f>SUMIF('General Ledger'!$C$2:$C$90,"Liability",'General Ledger'!$J$2:$J$90)-SUMIF('General Ledger'!$C$2:$C$90,"Liability",'General Ledger'!$I$2:$I$90)</f>
        <v>0</v>
      </c>
    </row>
    <row r="9">
      <c r="A9" s="32" t="s">
        <v>313</v>
      </c>
    </row>
    <row r="10">
      <c r="A10" s="13" t="s">
        <v>314</v>
      </c>
      <c r="B10" s="13">
        <f>SUMIF('General Ledger'!$C$2:$C$90,"Equity",'General Ledger'!$J$2:$J$90)-SUMIF('General Ledger'!$C$2:$C$90,"Equity",'General Ledger'!$I$2:$I$90)</f>
        <v>800000</v>
      </c>
    </row>
    <row r="11">
      <c r="A11" s="13" t="s">
        <v>315</v>
      </c>
      <c r="B11" s="13">
        <f>'P&amp;L by Segment'!B11</f>
        <v>1600</v>
      </c>
    </row>
    <row r="12">
      <c r="A12" s="2" t="s">
        <v>316</v>
      </c>
      <c r="B12" s="2">
        <f>B10+B11</f>
        <v>801600</v>
      </c>
    </row>
    <row r="14">
      <c r="A14" s="2" t="s">
        <v>317</v>
      </c>
      <c r="B14" s="2">
        <f>B7+B12</f>
        <v>801600</v>
      </c>
    </row>
    <row r="15">
      <c r="A15" s="2" t="s">
        <v>318</v>
      </c>
      <c r="B15" s="2">
        <f>B4-B14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